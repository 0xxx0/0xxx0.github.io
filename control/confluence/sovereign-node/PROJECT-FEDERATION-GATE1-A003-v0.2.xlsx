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b6a009937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a0e826d5f9a4b27"/>
    <x:sheet xmlns:r="http://schemas.openxmlformats.org/officeDocument/2006/relationships" name="Master Index" sheetId="2" r:id="R6ff4bc7f5a684559"/>
    <x:sheet xmlns:r="http://schemas.openxmlformats.org/officeDocument/2006/relationships" name="Artifact Registry" sheetId="3" r:id="R4ffaf779f7064003"/>
    <x:sheet xmlns:r="http://schemas.openxmlformats.org/officeDocument/2006/relationships" name="Gate Queue" sheetId="4" r:id="R0a26e1d3cf4249e2"/>
    <x:sheet xmlns:r="http://schemas.openxmlformats.org/officeDocument/2006/relationships" name="Lists" sheetId="5" r:id="Rcf3d6fece49a45ff"/>
    <x:sheet xmlns:r="http://schemas.openxmlformats.org/officeDocument/2006/relationships" name="Recovery Run" sheetId="6" r:id="R22b6afe417b94aba"/>
    <x:sheet xmlns:r="http://schemas.openxmlformats.org/officeDocument/2006/relationships" name="Search Audit" sheetId="7" r:id="R486c59f227ff47e6"/>
    <x:sheet xmlns:r="http://schemas.openxmlformats.org/officeDocument/2006/relationships" name="Candidate Returns" sheetId="8" r:id="Rac0780cea89a42c2"/>
    <x:sheet xmlns:r="http://schemas.openxmlformats.org/officeDocument/2006/relationships" name="OCR Audit" sheetId="9" r:id="R3f5989cd8583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:ss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i/>
      <x:sz val="11"/>
      <x:color rgb="FF1F2937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6"/>
      <x:color rgb="FFFFFFFF"/>
      <x:name val="Carlito"/>
    </x:font>
    <x:font>
      <x:sz val="9"/>
      <x:color rgb="FF1F2937"/>
      <x:name val="Carlito"/>
    </x:font>
    <x:font>
      <x:b/>
      <x:sz val="9"/>
      <x:color rgb="FF1D4ED8"/>
      <x:name val="Carlito"/>
    </x:font>
    <x:font>
      <x:b/>
      <x:sz val="16"/>
      <x:color rgb="FFFFFFFF"/>
      <x:name val="Aptos"/>
    </x:font>
    <x:font>
      <x:sz val="10"/>
      <x:color rgb="FF1F2937"/>
      <x:name val="Carlito"/>
    </x:font>
    <x:font>
      <x:sz val="11"/>
      <x:color rgb="FF1F2937"/>
      <x:name val="Carlito"/>
    </x:font>
    <x:font>
      <x:sz val="11"/>
      <x:color rgb="FF1F2937"/>
      <x:name val="Aptos"/>
    </x:font>
    <x:font>
      <x:i/>
      <x:sz val="10"/>
      <x:color rgb="FF475569"/>
      <x:name val="Carlito"/>
    </x:font>
    <x:font>
      <x:b/>
      <x:sz val="11"/>
      <x:color rgb="FF78350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CFCE7"/>
      </x:patternFill>
    </x:fill>
    <x:fill>
      <x:patternFill patternType="solid">
        <x:fgColor rgb="FFEFF6FF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C2410C"/>
      </x:patternFill>
    </x:fill>
    <x:fill>
      <x:patternFill patternType="solid">
        <x:fgColor rgb="FFFEF3C7"/>
      </x:patternFill>
    </x:fill>
  </x:fills>
  <x:borders count="20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</x:border>
    <x:border>
      <x:left style="thin">
        <x:color rgb="FFCBD5E1"/>
      </x:left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6" fillId="0" borderId="3" xfId="0" applyNumberFormat="1" applyFont="1" applyFill="1" applyBorder="1"/>
    <x:xf numFmtId="200" fontId="6" fillId="0" borderId="4" xfId="0" applyNumberFormat="1" applyFont="1" applyFill="1" applyBorder="1"/>
    <x:xf numFmtId="0" fontId="6" fillId="0" borderId="2" xfId="0" applyNumberFormat="1" applyFont="1" applyFill="1" applyBorder="1"/>
    <x:xf numFmtId="200" fontId="6" fillId="0" borderId="1" xfId="0" applyNumberFormat="1" applyFont="1" applyFill="1" applyBorder="1"/>
    <x:xf numFmtId="0" fontId="6" fillId="0" borderId="5" xfId="0" applyNumberFormat="1" applyFont="1" applyFill="1" applyBorder="1"/>
    <x:xf numFmtId="200" fontId="6" fillId="0" borderId="6" xfId="0" applyNumberFormat="1" applyFont="1" applyFill="1" applyBorder="1"/>
    <x:xf numFmtId="0" fontId="7" fillId="5" borderId="0" xfId="0" applyNumberFormat="1" applyFont="1" applyFill="1" applyBorder="1"/>
    <x:xf numFmtId="0" fontId="6" fillId="0" borderId="3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8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14" fillId="9" borderId="7" xfId="0" applyNumberFormat="1" applyFont="1" applyFill="1" applyBorder="1" applyAlignment="1">
      <x:alignment vertical="top" wrapText="1"/>
    </x:xf>
    <x:xf numFmtId="0" fontId="14" fillId="9" borderId="8" xfId="0" applyNumberFormat="1" applyFont="1" applyFill="1" applyBorder="1" applyAlignment="1">
      <x:alignment vertical="top" wrapText="1"/>
    </x:xf>
    <x:xf numFmtId="0" fontId="14" fillId="9" borderId="9" xfId="0" applyNumberFormat="1" applyFont="1" applyFill="1" applyBorder="1" applyAlignment="1">
      <x:alignment vertical="top" wrapText="1"/>
    </x:xf>
    <x:xf numFmtId="0" fontId="6" fillId="10" borderId="4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6" xfId="0" applyNumberFormat="1" applyFont="1" applyFill="1" applyBorder="1" applyAlignment="1">
      <x:alignment vertical="top" wrapText="1"/>
    </x:xf>
    <x:xf numFmtId="0" fontId="14" fillId="10" borderId="4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4" fillId="10" borderId="6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14" fillId="9" borderId="1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14" fillId="10" borderId="1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9" fillId="0" borderId="13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1" xfId="0" applyNumberFormat="1" applyFont="1" applyFill="1" applyBorder="1"/>
    <x:xf numFmtId="0" fontId="3" fillId="13" borderId="16" xfId="0" applyNumberFormat="1" applyFont="1" applyFill="1" applyBorder="1"/>
    <x:xf numFmtId="0" fontId="3" fillId="13" borderId="12" xfId="0" applyNumberFormat="1" applyFont="1" applyFill="1" applyBorder="1"/>
    <x:xf numFmtId="0" fontId="3" fillId="13" borderId="11" xfId="0" applyNumberFormat="1" applyFont="1" applyFill="1" applyBorder="1" applyAlignment="1">
      <x:alignment wrapText="1"/>
    </x:xf>
    <x:xf numFmtId="0" fontId="3" fillId="13" borderId="16" xfId="0" applyNumberFormat="1" applyFont="1" applyFill="1" applyBorder="1" applyAlignment="1">
      <x:alignment wrapText="1"/>
    </x:xf>
    <x:xf numFmtId="0" fontId="3" fillId="13" borderId="12" xfId="0" applyNumberFormat="1" applyFont="1" applyFill="1" applyBorder="1" applyAlignment="1">
      <x:alignment wrapText="1"/>
    </x:xf>
    <x:xf numFmtId="0" fontId="3" fillId="13" borderId="11" xfId="0" applyNumberFormat="1" applyFont="1" applyFill="1" applyBorder="1" applyAlignment="1">
      <x:alignment vertical="center" wrapText="1"/>
    </x:xf>
    <x:xf numFmtId="0" fontId="3" fillId="13" borderId="16" xfId="0" applyNumberFormat="1" applyFont="1" applyFill="1" applyBorder="1" applyAlignment="1">
      <x:alignment vertical="center" wrapText="1"/>
    </x:xf>
    <x:xf numFmtId="0" fontId="3" fillId="13" borderId="1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1" xfId="0" applyNumberFormat="1" applyFont="1" applyFill="1" applyBorder="1"/>
    <x:xf numFmtId="0" fontId="3" fillId="8" borderId="16" xfId="0" applyNumberFormat="1" applyFont="1" applyFill="1" applyBorder="1"/>
    <x:xf numFmtId="0" fontId="3" fillId="8" borderId="12" xfId="0" applyNumberFormat="1" applyFont="1" applyFill="1" applyBorder="1"/>
    <x:xf numFmtId="0" fontId="3" fillId="8" borderId="11" xfId="0" applyNumberFormat="1" applyFont="1" applyFill="1" applyBorder="1" applyAlignment="1">
      <x:alignment wrapText="1"/>
    </x:xf>
    <x:xf numFmtId="0" fontId="3" fillId="8" borderId="16" xfId="0" applyNumberFormat="1" applyFont="1" applyFill="1" applyBorder="1" applyAlignment="1">
      <x:alignment wrapText="1"/>
    </x:xf>
    <x:xf numFmtId="0" fontId="3" fillId="8" borderId="12" xfId="0" applyNumberFormat="1" applyFont="1" applyFill="1" applyBorder="1" applyAlignment="1">
      <x:alignment wrapText="1"/>
    </x:xf>
    <x:xf numFmtId="0" fontId="3" fillId="8" borderId="11" xfId="0" applyNumberFormat="1" applyFont="1" applyFill="1" applyBorder="1" applyAlignment="1">
      <x:alignment vertical="center" wrapText="1"/>
    </x:xf>
    <x:xf numFmtId="0" fontId="3" fillId="8" borderId="16" xfId="0" applyNumberFormat="1" applyFont="1" applyFill="1" applyBorder="1" applyAlignment="1">
      <x:alignment vertical="center" wrapText="1"/>
    </x:xf>
    <x:xf numFmtId="0" fontId="3" fillId="8" borderId="1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6" fillId="14" borderId="0" xfId="0" applyNumberFormat="1" applyFont="1" applyFill="1" applyBorder="1"/>
    <x:xf numFmtId="0" fontId="16" fillId="14" borderId="17" xfId="0" applyNumberFormat="1" applyFont="1" applyFill="1" applyBorder="1"/>
    <x:xf numFmtId="0" fontId="16" fillId="14" borderId="18" xfId="0" applyNumberFormat="1" applyFont="1" applyFill="1" applyBorder="1"/>
    <x:xf numFmtId="0" fontId="16" fillId="14" borderId="19" xfId="0" applyNumberFormat="1" applyFont="1" applyFill="1" applyBorder="1"/>
    <x:xf numFmtId="0" fontId="16" fillId="14" borderId="17" xfId="0" applyNumberFormat="1" applyFont="1" applyFill="1" applyBorder="1" applyAlignment="1">
      <x:alignment wrapText="1"/>
    </x:xf>
    <x:xf numFmtId="0" fontId="16" fillId="14" borderId="18" xfId="0" applyNumberFormat="1" applyFont="1" applyFill="1" applyBorder="1" applyAlignment="1">
      <x:alignment wrapText="1"/>
    </x:xf>
    <x:xf numFmtId="0" fontId="16" fillId="14" borderId="19" xfId="0" applyNumberFormat="1" applyFont="1" applyFill="1" applyBorder="1" applyAlignment="1">
      <x:alignment wrapText="1"/>
    </x:xf>
    <x:xf numFmtId="0" fontId="3" fillId="7" borderId="16" xfId="0" applyNumberFormat="1" applyFont="1" applyFill="1" applyBorder="1"/>
    <x:xf numFmtId="0" fontId="3" fillId="7" borderId="16" xfId="0" applyNumberFormat="1" applyFont="1" applyFill="1" applyBorder="1" applyAlignment="1">
      <x:alignment wrapText="1"/>
    </x:xf>
    <x:xf numFmtId="0" fontId="3" fillId="7" borderId="16" xfId="0" applyNumberFormat="1" applyFont="1" applyFill="1" applyBorder="1" applyAlignment="1">
      <x:alignment vertical="center" wrapText="1"/>
    </x:xf>
    <x:xf numFmtId="201" fontId="9" fillId="0" borderId="13" xfId="0" applyNumberFormat="1" applyFont="1" applyFill="1" applyBorder="1" applyAlignment="1">
      <x:alignment vertical="top" wrapText="1"/>
    </x:xf>
    <x:xf numFmtId="201" fontId="9" fillId="0" borderId="14" xfId="0" applyNumberFormat="1" applyFont="1" applyFill="1" applyBorder="1" applyAlignment="1">
      <x:alignment vertical="top" wrapText="1"/>
    </x:xf>
    <x:xf numFmtId="201" fontId="9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F766E"/>
      </x:font>
      <x:fill>
        <x:patternFill>
          <x:bgColor rgb="FFCCFBF1"/>
        </x:patternFill>
      </x:fill>
    </x:dxf>
    <x:dxf>
      <x:font>
        <x:i/>
        <x:color rgb="FF6B7280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12301c71f44ad" /><Relationship Type="http://schemas.openxmlformats.org/officeDocument/2006/relationships/theme" Target="/xl/theme/theme1.xml" Id="R75dd60a388a245f8" /><Relationship Type="http://schemas.openxmlformats.org/officeDocument/2006/relationships/sharedStrings" Target="/xl/sharedStrings.xml" Id="R5f65a3f75aac46d8" /><Relationship Type="http://schemas.openxmlformats.org/officeDocument/2006/relationships/worksheet" Target="/xl/worksheets/sheet1.xml" Id="R3a0e826d5f9a4b27" /><Relationship Type="http://schemas.openxmlformats.org/officeDocument/2006/relationships/worksheet" Target="/xl/worksheets/sheet2.xml" Id="R6ff4bc7f5a684559" /><Relationship Type="http://schemas.openxmlformats.org/officeDocument/2006/relationships/worksheet" Target="/xl/worksheets/sheet3.xml" Id="R4ffaf779f7064003" /><Relationship Type="http://schemas.openxmlformats.org/officeDocument/2006/relationships/worksheet" Target="/xl/worksheets/sheet4.xml" Id="R0a26e1d3cf4249e2" /><Relationship Type="http://schemas.openxmlformats.org/officeDocument/2006/relationships/worksheet" Target="/xl/worksheets/sheet5.xml" Id="Rcf3d6fece49a45ff" /><Relationship Type="http://schemas.openxmlformats.org/officeDocument/2006/relationships/worksheet" Target="/xl/worksheets/sheet6.xml" Id="R22b6afe417b94aba" /><Relationship Type="http://schemas.openxmlformats.org/officeDocument/2006/relationships/worksheet" Target="/xl/worksheets/sheet7.xml" Id="R486c59f227ff47e6" /><Relationship Type="http://schemas.openxmlformats.org/officeDocument/2006/relationships/worksheet" Target="/xl/worksheets/sheet8.xml" Id="Rac0780cea89a42c2" /><Relationship Type="http://schemas.openxmlformats.org/officeDocument/2006/relationships/worksheet" Target="/xl/worksheets/sheet9.xml" Id="R3f5989cd85834c3e" /></Relationships>
</file>

<file path=xl/tables/table1.xml><?xml version="1.0" encoding="utf-8"?>
<x:table xmlns:x="http://schemas.openxmlformats.org/spreadsheetml/2006/main" id="1" name="MasterIndexTable" displayName="MasterIndexTable" ref="A4:S121" headerRowCount="1" totalsRowCount="0" totalsRowShown="0">
  <x:autoFilter ref="A4:S121"/>
  <x:tableColumns count="19">
    <x:tableColumn id="1" name="ID"/>
    <x:tableColumn id="2" name="Province"/>
    <x:tableColumn id="3" name="Subprogram"/>
    <x:tableColumn id="4" name="Project / Subsystem"/>
    <x:tableColumn id="5" name="Type"/>
    <x:tableColumn id="6" name="State"/>
    <x:tableColumn id="7" name="Epistemic Status"/>
    <x:tableColumn id="8" name="Confirmation"/>
    <x:tableColumn id="9" name="Priority"/>
    <x:tableColumn id="10" name="Horizon"/>
    <x:tableColumn id="11" name="Output Class"/>
    <x:tableColumn id="12" name="Purpose / Promise"/>
    <x:tableColumn id="13" name="Existing Artifact(s)"/>
    <x:tableColumn id="14" name="Lineage / Parent"/>
    <x:tableColumn id="15" name="Dependencies"/>
    <x:tableColumn id="16" name="Missingness"/>
    <x:tableColumn id="17" name="Next Test"/>
    <x:tableColumn id="18" name="Revision Trigger / Falsifier"/>
    <x:tableColumn id="19" name="Safety / Boun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factRegistryTable" displayName="ArtifactRegistryTable" ref="A4:Q35" headerRowCount="1" totalsRowCount="0" totalsRowShown="0">
  <x:autoFilter ref="A4:Q35"/>
  <x:tableColumns count="17">
    <x:tableColumn id="1" name="Artifact ID"/>
    <x:tableColumn id="2" name="Project ID"/>
    <x:tableColumn id="3" name="Artifact Name"/>
    <x:tableColumn id="4" name="Artifact Class"/>
    <x:tableColumn id="5" name="State"/>
    <x:tableColumn id="6" name="Confirmation"/>
    <x:tableColumn id="7" name="Memory Tier"/>
    <x:tableColumn id="8" name="Variant Of"/>
    <x:tableColumn id="9" name="Library Path / Source URL"/>
    <x:tableColumn id="10" name="File Type"/>
    <x:tableColumn id="11" name="Provenance / Lineage"/>
    <x:tableColumn id="12" name="Inputs"/>
    <x:tableColumn id="13" name="Outputs"/>
    <x:tableColumn id="14" name="Ports / Interface"/>
    <x:tableColumn id="15" name="Fallback"/>
    <x:tableColumn id="16" name="Missingness"/>
    <x:tableColumn id="17" name="Next Test / Retur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GateQueueTable" displayName="GateQueueTable" ref="A4:H20" headerRowCount="1" totalsRowCount="0" totalsRowShown="0">
  <x:tableColumns count="8">
    <x:tableColumn id="1" name="Order"/>
    <x:tableColumn id="2" name="Gate"/>
    <x:tableColumn id="3" name="Project ID"/>
    <x:tableColumn id="4" name="Action"/>
    <x:tableColumn id="5" name="Exit Criterion"/>
    <x:tableColumn id="6" name="Dependencies / Blocks"/>
    <x:tableColumn id="7" name="Safety Boundary"/>
    <x:tableColumn id="8" name="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dfbbf5ac0f47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ce11659c174e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2b267ccb7a40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19" hidden="0" customWidth="1"/>
    <x:col min="5" max="5" width="14" hidden="0" customWidth="1"/>
    <x:col min="6" max="6" width="4" hidden="0" customWidth="1"/>
    <x:col min="7" max="7" width="18" hidden="0" customWidth="1"/>
    <x:col min="8" max="8" width="24" hidden="0" customWidth="1"/>
  </x:cols>
  <x:sheetData>
    <x:row r="1" ht="34" customHeight="1">
      <x:c r="A1" s="45" t="str">
        <x:v>CONST-001 · GATE 1 — PROJECT FEDERATION</x:v>
      </x:c>
      <x:c r="B1" s="45"/>
      <x:c r="C1" s="45"/>
      <x:c r="D1" s="45"/>
      <x:c r="E1" s="45"/>
      <x:c r="F1" s="45"/>
      <x:c r="G1" s="45"/>
      <x:c r="H1" s="45"/>
    </x:row>
    <x:row r="2" ht="24" customHeight="1">
      <x:c r="A2" s="46" t="str">
        <x:v>Master Index + Artifact Registry · v0.2 · A003 run 01 · non-destructive · incomplete by design</x:v>
      </x:c>
      <x:c r="B2" s="46" t="str">
        <x:v>Master Index + Artifact Registry · v0.2 · A003 run 01 · non-destructive · incomplete by design</x:v>
      </x:c>
      <x:c r="C2" s="46" t="str">
        <x:v>Master Index + Artifact Registry · v0.2 · A003 run 01 · non-destructive · incomplete by design</x:v>
      </x:c>
      <x:c r="D2" s="46" t="str">
        <x:v>Master Index + Artifact Registry · v0.2 · A003 run 01 · non-destructive · incomplete by design</x:v>
      </x:c>
      <x:c r="E2" s="46" t="str">
        <x:v>Master Index + Artifact Registry · v0.2 · A003 run 01 · non-destructive · incomplete by design</x:v>
      </x:c>
      <x:c r="F2" s="46" t="str">
        <x:v>Master Index + Artifact Registry · v0.2 · A003 run 01 · non-destructive · incomplete by design</x:v>
      </x:c>
      <x:c r="G2" s="46" t="str">
        <x:v>Master Index + Artifact Registry · v0.2 · A003 run 01 · non-destructive · incomplete by design</x:v>
      </x:c>
      <x:c r="H2" s="46" t="str">
        <x:v>Master Index + Artifact Registry · v0.2 · A003 run 01 · non-destructive · incomplete by design</x:v>
      </x:c>
    </x:row>
    <x:row r="3">
      <x:c r="A3" s="47"/>
      <x:c r="B3" s="47"/>
      <x:c r="C3" s="47"/>
      <x:c r="D3" s="47"/>
      <x:c r="E3" s="47"/>
      <x:c r="F3" s="47"/>
      <x:c r="G3" s="47"/>
      <x:c r="H3" s="47"/>
    </x:row>
    <x:row r="4">
      <x:c r="A4" s="48" t="str">
        <x:v>Measure</x:v>
      </x:c>
      <x:c r="B4" s="49" t="str">
        <x:v>Value</x:v>
      </x:c>
      <x:c r="C4" s="47"/>
      <x:c r="D4" s="48" t="str">
        <x:v>Province</x:v>
      </x:c>
      <x:c r="E4" s="49" t="str">
        <x:v>Projects</x:v>
      </x:c>
      <x:c r="F4" s="47"/>
      <x:c r="G4" s="48" t="str">
        <x:v>Confirmation</x:v>
      </x:c>
      <x:c r="H4" s="49" t="str">
        <x:v>Count</x:v>
      </x:c>
    </x:row>
    <x:row r="5">
      <x:c r="A5" s="50" t="str">
        <x:v>Indexed projects</x:v>
      </x:c>
      <x:c r="B5" s="51" t="n">
        <x:f>COUNTA('Master Index'!$A$5:$A$200)</x:f>
        <x:v>117</x:v>
      </x:c>
      <x:c r="C5" s="47"/>
      <x:c r="D5" s="50" t="str">
        <x:v>Inner Governance</x:v>
      </x:c>
      <x:c r="E5" s="51" t="n">
        <x:f>COUNTIF('Master Index'!$B$5:$B$200,D5)</x:f>
        <x:v>11</x:v>
      </x:c>
      <x:c r="F5" s="47"/>
      <x:c r="G5" s="50" t="str">
        <x:v>confirmed artifact</x:v>
      </x:c>
      <x:c r="H5" s="51" t="n">
        <x:f>COUNTIF('Master Index'!$H$5:$H$200,G5)</x:f>
        <x:v>42</x:v>
      </x:c>
    </x:row>
    <x:row r="6">
      <x:c r="A6" s="52" t="str">
        <x:v>Registered artifacts</x:v>
      </x:c>
      <x:c r="B6" s="53" t="n">
        <x:f>COUNTA('Artifact Registry'!$A$5:$A$41)</x:f>
        <x:v>37</x:v>
      </x:c>
      <x:c r="C6" s="47"/>
      <x:c r="D6" s="52" t="str">
        <x:v>Knowledge Substrate</x:v>
      </x:c>
      <x:c r="E6" s="53" t="n">
        <x:f>COUNTIF('Master Index'!$B$5:$B$200,D6)</x:f>
        <x:v>25</x:v>
      </x:c>
      <x:c r="F6" s="47"/>
      <x:c r="G6" s="52" t="str">
        <x:v>confirmed project</x:v>
      </x:c>
      <x:c r="H6" s="53" t="n">
        <x:f>COUNTIF('Master Index'!$H$5:$H$200,G6)</x:f>
        <x:v>71</x:v>
      </x:c>
    </x:row>
    <x:row r="7">
      <x:c r="A7" s="52" t="str">
        <x:v>P0 projects</x:v>
      </x:c>
      <x:c r="B7" s="53" t="n">
        <x:f>COUNTIF('Master Index'!$I$5:$I$200,"P0")</x:f>
        <x:v>24</x:v>
      </x:c>
      <x:c r="C7" s="47"/>
      <x:c r="D7" s="52" t="str">
        <x:v>Symbolic Language</x:v>
      </x:c>
      <x:c r="E7" s="53" t="n">
        <x:f>COUNTIF('Master Index'!$B$5:$B$200,D7)</x:f>
        <x:v>17</x:v>
      </x:c>
      <x:c r="F7" s="47"/>
      <x:c r="G7" s="52" t="str">
        <x:v>proposal only</x:v>
      </x:c>
      <x:c r="H7" s="53" t="n">
        <x:f>COUNTIF('Master Index'!$H$5:$H$200,G7)</x:f>
        <x:v>3</x:v>
      </x:c>
    </x:row>
    <x:row r="8">
      <x:c r="A8" s="52" t="str">
        <x:v>Active projects</x:v>
      </x:c>
      <x:c r="B8" s="53" t="n">
        <x:f>COUNTIF('Master Index'!$F$5:$F$121,"active")</x:f>
        <x:v>18</x:v>
      </x:c>
      <x:c r="C8" s="47"/>
      <x:c r="D8" s="52" t="str">
        <x:v>Mythic and Poetic Engine</x:v>
      </x:c>
      <x:c r="E8" s="53" t="n">
        <x:f>COUNTIF('Master Index'!$B$5:$B$200,D8)</x:f>
        <x:v>20</x:v>
      </x:c>
      <x:c r="F8" s="47"/>
      <x:c r="G8" s="54" t="str">
        <x:v>unresolved</x:v>
      </x:c>
      <x:c r="H8" s="55" t="n">
        <x:f>COUNTIF('Master Index'!$H$5:$H$200,G8)</x:f>
        <x:v>1</x:v>
      </x:c>
    </x:row>
    <x:row r="9">
      <x:c r="A9" s="52" t="str">
        <x:v>Rows with explicit missingness</x:v>
      </x:c>
      <x:c r="B9" s="53" t="n">
        <x:f>COUNTIF('Master Index'!$P$5:$P$200,"&lt;&gt;")</x:f>
        <x:v>117</x:v>
      </x:c>
      <x:c r="C9" s="47"/>
      <x:c r="D9" s="52" t="str">
        <x:v>Sovereign Toolchain</x:v>
      </x:c>
      <x:c r="E9" s="53" t="n">
        <x:f>COUNTIF('Master Index'!$B$5:$B$200,D9)</x:f>
        <x:v>11</x:v>
      </x:c>
      <x:c r="F9" s="47"/>
      <x:c r="G9" s="47"/>
      <x:c r="H9" s="47"/>
    </x:row>
    <x:row r="10">
      <x:c r="A10" s="54" t="str">
        <x:v>Gate actions</x:v>
      </x:c>
      <x:c r="B10" s="55" t="n">
        <x:f>COUNTA('Gate Queue'!$A$5:$A$50)</x:f>
        <x:v>16</x:v>
      </x:c>
      <x:c r="C10" s="47"/>
      <x:c r="D10" s="54" t="str">
        <x:v>World Deployment</x:v>
      </x:c>
      <x:c r="E10" s="55" t="n">
        <x:f>COUNTIF('Master Index'!$B$5:$B$200,D10)</x:f>
        <x:v>33</x:v>
      </x:c>
      <x:c r="F10" s="47"/>
      <x:c r="G10" s="47"/>
      <x:c r="H10" s="47"/>
    </x:row>
    <x:row r="11">
      <x:c r="A11" s="47"/>
      <x:c r="B11" s="47"/>
      <x:c r="C11" s="47"/>
      <x:c r="D11" s="47"/>
      <x:c r="E11" s="47"/>
      <x:c r="F11" s="47"/>
      <x:c r="G11" s="47"/>
      <x:c r="H11" s="47"/>
    </x:row>
    <x:row r="12">
      <x:c r="A12" s="56" t="str">
        <x:v>DECLARED COVERAGE GAPS</x:v>
      </x:c>
      <x:c r="B12" s="56"/>
      <x:c r="C12" s="56"/>
      <x:c r="D12" s="56"/>
      <x:c r="E12" s="56"/>
      <x:c r="F12" s="56"/>
      <x:c r="G12" s="56"/>
      <x:c r="H12" s="56"/>
    </x:row>
    <x:row r="13">
      <x:c r="A13" s="57" t="str">
        <x:v>Original Script Bank remains unresolved as an independent object; 11 exact-title returns are downstream references.</x:v>
      </x:c>
      <x:c r="B13" s="58" t="str">
        <x:v>A003 pass → A001</x:v>
      </x:c>
      <x:c r="C13" s="58"/>
      <x:c r="D13" s="117" t="str">
        <x:v>A003 Run 01</x:v>
      </x:c>
      <x:c r="E13" s="118" t="str">
        <x:v>PASS</x:v>
      </x:c>
      <x:c r="F13" s="119"/>
      <x:c r="G13" s="120" t="str">
        <x:v>Canon promotions</x:v>
      </x:c>
      <x:c r="H13" s="121" t="n">
        <x:v>0</x:v>
      </x:c>
    </x:row>
    <x:row r="14">
      <x:c r="A14" s="60" t="str">
        <x:v>2026-04-04→07-14 remains a zero-result in seven exports; 12/200+ visual pilot complete; older/lost families returned.</x:v>
      </x:c>
      <x:c r="B14" s="61" t="str">
        <x:v>A003 cooling down</x:v>
      </x:c>
      <x:c r="C14" s="61"/>
      <x:c r="D14" s="117" t="str">
        <x:v>Exports</x:v>
      </x:c>
      <x:c r="E14" s="118" t="n">
        <x:v>7</x:v>
      </x:c>
      <x:c r="F14" s="119"/>
      <x:c r="G14" s="120" t="str">
        <x:v>Next active</x:v>
      </x:c>
      <x:c r="H14" s="121" t="str">
        <x:v>A001</x:v>
      </x:c>
    </x:row>
    <x:row r="15">
      <x:c r="A15" s="60" t="str">
        <x:v>CODE and Drive file-family metadata/hash inventory not yet run.</x:v>
      </x:c>
      <x:c r="B15" s="61" t="str">
        <x:v>KS-004 → KS-023</x:v>
      </x:c>
      <x:c r="C15" s="61"/>
      <x:c r="D15" s="117" t="str">
        <x:v>Conversations</x:v>
      </x:c>
      <x:c r="E15" s="118" t="n">
        <x:v>604</x:v>
      </x:c>
      <x:c r="F15" s="119"/>
      <x:c r="G15" s="120" t="str">
        <x:v>A003 state</x:v>
      </x:c>
      <x:c r="H15" s="121" t="str">
        <x:v>cooling down</x:v>
      </x:c>
    </x:row>
    <x:row r="16">
      <x:c r="A16" s="60" t="str">
        <x:v>Some current projects have conversation evidence but no resolved artifact path.</x:v>
      </x:c>
      <x:c r="B16" s="61" t="str">
        <x:v>Confirmation field preserves this boundary.</x:v>
      </x:c>
      <x:c r="C16" s="61"/>
      <x:c r="D16" s="117" t="str">
        <x:v>Messages</x:v>
      </x:c>
      <x:c r="E16" s="118" t="n">
        <x:v>24821</x:v>
      </x:c>
      <x:c r="F16" s="119"/>
      <x:c r="G16" s="120" t="str">
        <x:v>Completeness</x:v>
      </x:c>
      <x:c r="H16" s="121" t="str">
        <x:v>not established</x:v>
      </x:c>
    </x:row>
    <x:row r="17">
      <x:c r="A17" s="60" t="str">
        <x:v>Series Grammar, Semantic Validation and Plate 09 specifications need file resolution.</x:v>
      </x:c>
      <x:c r="B17" s="61" t="str">
        <x:v>MP-017 → MP-016</x:v>
      </x:c>
      <x:c r="C17" s="61"/>
      <x:c r="D17" s="117" t="str">
        <x:v>Gap-window hits</x:v>
      </x:c>
      <x:c r="E17" s="118" t="n">
        <x:v>0</x:v>
      </x:c>
      <x:c r="F17" s="119"/>
      <x:c r="G17" s="120" t="str">
        <x:v>Run ID</x:v>
      </x:c>
      <x:c r="H17" s="121" t="str">
        <x:v>A003-RUN-2026-08-09-01</x:v>
      </x:c>
    </x:row>
    <x:row r="18">
      <x:c r="A18" s="60" t="str">
        <x:v>Physical inventory, dimensions, calibration and prototype evidence are unverified.</x:v>
      </x:c>
      <x:c r="B18" s="61" t="str">
        <x:v>Gate 2</x:v>
      </x:c>
      <x:c r="C18" s="61"/>
      <x:c r="D18" s="117" t="str">
        <x:v>OCR pilot</x:v>
      </x:c>
      <x:c r="E18" s="118" t="str">
        <x:v>12 / 200+</x:v>
      </x:c>
      <x:c r="F18" s="119"/>
      <x:c r="G18" s="120" t="str">
        <x:v>Search log rows</x:v>
      </x:c>
      <x:c r="H18" s="121" t="n">
        <x:v>42</x:v>
      </x:c>
    </x:row>
    <x:row r="19">
      <x:c r="A19" s="63" t="str">
        <x:v>The legacy seventh program is preserved as Subprogram: Lineage/Civilization Research.</x:v>
      </x:c>
      <x:c r="B19" s="64" t="str">
        <x:v>No province silently deleted.</x:v>
      </x:c>
      <x:c r="C19" s="64"/>
      <x:c r="D19" s="117" t="str">
        <x:v>Candidate returns</x:v>
      </x:c>
      <x:c r="E19" s="118" t="n">
        <x:v>23</x:v>
      </x:c>
      <x:c r="F19" s="119"/>
      <x:c r="G19" s="120" t="str">
        <x:v>Zero-result rows</x:v>
      </x:c>
      <x:c r="H19" s="121" t="n">
        <x:v>7</x:v>
      </x:c>
    </x:row>
    <x:row r="20">
      <x:c r="A20" s="47"/>
      <x:c r="B20" s="47"/>
      <x:c r="C20" s="47"/>
      <x:c r="D20" s="47"/>
      <x:c r="E20" s="47"/>
      <x:c r="F20" s="47"/>
      <x:c r="G20" s="47"/>
      <x:c r="H20" s="47"/>
    </x:row>
    <x:row r="21">
      <x:c r="A21" s="66" t="str">
        <x:v>REGISTRY LAWS</x:v>
      </x:c>
      <x:c r="B21" s="66"/>
      <x:c r="C21" s="66"/>
      <x:c r="D21" s="66"/>
      <x:c r="E21" s="66"/>
      <x:c r="F21" s="66"/>
      <x:c r="G21" s="66"/>
      <x:c r="H21" s="66"/>
    </x:row>
    <x:row r="22">
      <x:c r="A22" s="67" t="str">
        <x:v>1</x:v>
      </x:c>
      <x:c r="B22" s="68" t="str">
        <x:v>Recover before inventing.</x:v>
      </x:c>
      <x:c r="C22" s="68"/>
      <x:c r="D22" s="68"/>
      <x:c r="E22" s="68"/>
      <x:c r="F22" s="68"/>
      <x:c r="G22" s="68"/>
      <x:c r="H22" s="69"/>
    </x:row>
    <x:row r="23">
      <x:c r="A23" s="70" t="str">
        <x:v>2</x:v>
      </x:c>
      <x:c r="B23" s="71" t="str">
        <x:v>Never deduplicate by deletion; link variants, parents and supersession.</x:v>
      </x:c>
      <x:c r="C23" s="71"/>
      <x:c r="D23" s="71"/>
      <x:c r="E23" s="71"/>
      <x:c r="F23" s="71"/>
      <x:c r="G23" s="71"/>
      <x:c r="H23" s="72"/>
    </x:row>
    <x:row r="24">
      <x:c r="A24" s="70" t="str">
        <x:v>3</x:v>
      </x:c>
      <x:c r="B24" s="71" t="str">
        <x:v>Source, reconstruction, proposal and confirmed artifact remain distinct.</x:v>
      </x:c>
      <x:c r="C24" s="71"/>
      <x:c r="D24" s="71"/>
      <x:c r="E24" s="71"/>
      <x:c r="F24" s="71"/>
      <x:c r="G24" s="71"/>
      <x:c r="H24" s="72"/>
    </x:row>
    <x:row r="25">
      <x:c r="A25" s="70" t="str">
        <x:v>4</x:v>
      </x:c>
      <x:c r="B25" s="71" t="str">
        <x:v>Every active row needs missingness, next test and revision trigger.</x:v>
      </x:c>
      <x:c r="C25" s="71"/>
      <x:c r="D25" s="71"/>
      <x:c r="E25" s="71"/>
      <x:c r="F25" s="71"/>
      <x:c r="G25" s="71"/>
      <x:c r="H25" s="72"/>
    </x:row>
    <x:row r="26">
      <x:c r="A26" s="70" t="str">
        <x:v>5</x:v>
      </x:c>
      <x:c r="B26" s="71" t="str">
        <x:v>Re-entry must add evidence, hypothesis, falsifier, decision or measurable delta.</x:v>
      </x:c>
      <x:c r="C26" s="71"/>
      <x:c r="D26" s="71"/>
      <x:c r="E26" s="71"/>
      <x:c r="F26" s="71"/>
      <x:c r="G26" s="71"/>
      <x:c r="H26" s="72"/>
    </x:row>
    <x:row r="27">
      <x:c r="A27" s="73" t="str">
        <x:v>6</x:v>
      </x:c>
      <x:c r="B27" s="74" t="str">
        <x:v>Manual fallback survives automation; safety bounds travel with the project.</x:v>
      </x:c>
      <x:c r="C27" s="74"/>
      <x:c r="D27" s="74"/>
      <x:c r="E27" s="74"/>
      <x:c r="F27" s="74"/>
      <x:c r="G27" s="74"/>
      <x:c r="H27" s="75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  <x:mergeCell ref="B18:H18"/>
    <x:mergeCell ref="B19:H19"/>
    <x:mergeCell ref="A21:H21"/>
    <x:mergeCell ref="B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34" hidden="0" customWidth="1"/>
    <x:col min="5" max="5" width="17" hidden="0" customWidth="1"/>
    <x:col min="6" max="6" width="15" hidden="0" customWidth="1"/>
    <x:col min="7" max="7" width="20" hidden="0" customWidth="1"/>
    <x:col min="8" max="8" width="19" hidden="0" customWidth="1"/>
    <x:col min="9" max="9" width="9" hidden="0" customWidth="1"/>
    <x:col min="10" max="10" width="10" hidden="0" customWidth="1"/>
    <x:col min="11" max="11" width="19" hidden="0" customWidth="1"/>
    <x:col min="12" max="12" width="48" hidden="0" customWidth="1"/>
    <x:col min="13" max="13" width="37" hidden="0" customWidth="1"/>
    <x:col min="14" max="14" width="36" hidden="0" customWidth="1"/>
    <x:col min="15" max="15" width="30" hidden="0" customWidth="1"/>
    <x:col min="16" max="16" width="44" hidden="0" customWidth="1"/>
    <x:col min="17" max="17" width="48" hidden="0" customWidth="1"/>
    <x:col min="18" max="18" width="48" hidden="0" customWidth="1"/>
    <x:col min="19" max="19" width="42" hidden="0" customWidth="1"/>
  </x:cols>
  <x:sheetData>
    <x:row r="1">
      <x:c r="A1" s="83" t="str">
        <x:v>MASTER INDEX · 117 PROJECT / SUBSYSTEM RECORDS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</x:row>
    <x:row r="2">
      <x:c r="A2" s="5" t="str">
        <x:v>Stable IDs preserve prior namespaces. Filter; append; link variants. Do not erase.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6" customHeight="1">
      <x:c r="A4" s="78" t="str">
        <x:v>ID</x:v>
      </x:c>
      <x:c r="B4" s="78" t="str">
        <x:v>Province</x:v>
      </x:c>
      <x:c r="C4" s="78" t="str">
        <x:v>Subprogram</x:v>
      </x:c>
      <x:c r="D4" s="78" t="str">
        <x:v>Project / Subsystem</x:v>
      </x:c>
      <x:c r="E4" s="78" t="str">
        <x:v>Type</x:v>
      </x:c>
      <x:c r="F4" s="78" t="str">
        <x:v>State</x:v>
      </x:c>
      <x:c r="G4" s="78" t="str">
        <x:v>Epistemic Status</x:v>
      </x:c>
      <x:c r="H4" s="78" t="str">
        <x:v>Confirmation</x:v>
      </x:c>
      <x:c r="I4" s="78" t="str">
        <x:v>Priority</x:v>
      </x:c>
      <x:c r="J4" s="78" t="str">
        <x:v>Horizon</x:v>
      </x:c>
      <x:c r="K4" s="78" t="str">
        <x:v>Output Class</x:v>
      </x:c>
      <x:c r="L4" s="78" t="str">
        <x:v>Purpose / Promise</x:v>
      </x:c>
      <x:c r="M4" s="78" t="str">
        <x:v>Existing Artifact(s)</x:v>
      </x:c>
      <x:c r="N4" s="78" t="str">
        <x:v>Lineage / Parent</x:v>
      </x:c>
      <x:c r="O4" s="78" t="str">
        <x:v>Dependencies</x:v>
      </x:c>
      <x:c r="P4" s="78" t="str">
        <x:v>Missingness</x:v>
      </x:c>
      <x:c r="Q4" s="78" t="str">
        <x:v>Next Test</x:v>
      </x:c>
      <x:c r="R4" s="78" t="str">
        <x:v>Revision Trigger / Falsifier</x:v>
      </x:c>
      <x:c r="S4" s="78" t="str">
        <x:v>Safety / Bounds</x:v>
      </x:c>
    </x:row>
    <x:row r="5" ht="54" customHeight="1">
      <x:c r="A5" s="82" t="str">
        <x:v>CONST-001</x:v>
      </x:c>
      <x:c r="B5" s="81" t="str">
        <x:v>Knowledge Substrate</x:v>
      </x:c>
      <x:c r="C5" s="81" t="str">
        <x:v>Federation governance</x:v>
      </x:c>
      <x:c r="D5" s="81" t="str">
        <x:v>The World Must Remain Answerable</x:v>
      </x:c>
      <x:c r="E5" s="81" t="str">
        <x:v>constitution</x:v>
      </x:c>
      <x:c r="F5" s="81" t="str">
        <x:v>active</x:v>
      </x:c>
      <x:c r="G5" s="81" t="str">
        <x:v>bounded evidence</x:v>
      </x:c>
      <x:c r="H5" s="81" t="str">
        <x:v>confirmed artifact</x:v>
      </x:c>
      <x:c r="I5" s="81" t="str">
        <x:v>P0</x:v>
      </x:c>
      <x:c r="J5" s="81" t="str">
        <x:v>now</x:v>
      </x:c>
      <x:c r="K5" s="81" t="str">
        <x:v>constitution</x:v>
      </x:c>
      <x:c r="L5" s="81" t="str">
        <x:v>Give the federation one operational constitution without collapsing distinct worlds.</x:v>
      </x:c>
      <x:c r="M5" s="81" t="str">
        <x:v>THE-WORLD-MUST-REMAIN-ANSWERABLE.md</x:v>
      </x:c>
      <x:c r="N5" s="81" t="str">
        <x:v>SA; Prison Age; SINDERESIS; CSOS; cassettes; Sovereign Node</x:v>
      </x:c>
      <x:c r="O5" s="81" t="str">
        <x:v>Gate 1 registry</x:v>
      </x:c>
      <x:c r="P5" s="81" t="str">
        <x:v>Coverage remains incomplete by design.</x:v>
      </x:c>
      <x:c r="Q5" s="81" t="str">
        <x:v>Test whether every active project receives an address, state, interface and next action without distortion.</x:v>
      </x:c>
      <x:c r="R5" s="81" t="str">
        <x:v>Any province cannot map without forced collapse; new evidence reduces maneuverability.</x:v>
      </x:c>
      <x:c r="S5" s="81" t="str">
        <x:v>No automatic authority expansion.</x:v>
      </x:c>
    </x:row>
    <x:row r="6" ht="54" customHeight="1">
      <x:c r="A6" s="82" t="str">
        <x:v>IG-001</x:v>
      </x:c>
      <x:c r="B6" s="81" t="str">
        <x:v>Inner Governance</x:v>
      </x:c>
      <x:c r="C6" s="81" t="str">
        <x:v>Council</x:v>
      </x:c>
      <x:c r="D6" s="81" t="str">
        <x:v>Council of Selves</x:v>
      </x:c>
      <x:c r="E6" s="81" t="str">
        <x:v>governance system</x:v>
      </x:c>
      <x:c r="F6" s="81" t="str">
        <x:v>triaged</x:v>
      </x:c>
      <x:c r="G6" s="81" t="str">
        <x:v>testable hypothesis</x:v>
      </x:c>
      <x:c r="H6" s="81" t="str">
        <x:v>confirmed project</x:v>
      </x:c>
      <x:c r="I6" s="81" t="str">
        <x:v>P1</x:v>
      </x:c>
      <x:c r="J6" s="81" t="str">
        <x:v>next</x:v>
      </x:c>
      <x:c r="K6" s="81" t="str">
        <x:v>protocol</x:v>
      </x:c>
      <x:c r="L6" s="81" t="str">
        <x:v>Use bounded offices to expose competing partial perspectives and end in an observable move.</x:v>
      </x:c>
      <x:c r="M6" s="81" t="str"/>
      <x:c r="N6" s="81" t="str">
        <x:v>Inner Parliament; archetype sets</x:v>
      </x:c>
      <x:c r="O6" s="81" t="str">
        <x:v>APP-020; Voice Runtime</x:v>
      </x:c>
      <x:c r="P6" s="81" t="str">
        <x:v>Canonical offices and decision protocol unresolved.</x:v>
      </x:c>
      <x:c r="Q6" s="81" t="str">
        <x:v>Run one bounded decision with explicit inputs, collisions, output and return condition.</x:v>
      </x:c>
      <x:c r="R6" s="81" t="str">
        <x:v>Council adds prose but does not alter a decision.</x:v>
      </x:c>
      <x:c r="S6" s="81" t="str">
        <x:v>No office is treated as a diagnosis or whole identity.</x:v>
      </x:c>
    </x:row>
    <x:row r="7" ht="54" customHeight="1">
      <x:c r="A7" s="82" t="str">
        <x:v>IG-002</x:v>
      </x:c>
      <x:c r="B7" s="81" t="str">
        <x:v>Inner Governance</x:v>
      </x:c>
      <x:c r="C7" s="81" t="str">
        <x:v>Council</x:v>
      </x:c>
      <x:c r="D7" s="81" t="str">
        <x:v>Inner OS / Inner Parliament</x:v>
      </x:c>
      <x:c r="E7" s="81" t="str">
        <x:v>governance system</x:v>
      </x:c>
      <x:c r="F7" s="81" t="str">
        <x:v>captured</x:v>
      </x:c>
      <x:c r="G7" s="81" t="str">
        <x:v>metaphor</x:v>
      </x:c>
      <x:c r="H7" s="81" t="str">
        <x:v>confirmed project</x:v>
      </x:c>
      <x:c r="I7" s="81" t="str">
        <x:v>P2</x:v>
      </x:c>
      <x:c r="J7" s="81" t="str">
        <x:v>later</x:v>
      </x:c>
      <x:c r="K7" s="81" t="str">
        <x:v>dossier</x:v>
      </x:c>
      <x:c r="L7" s="81" t="str">
        <x:v>Coordinate inner roles without converting them into fixed identities.</x:v>
      </x:c>
      <x:c r="M7" s="81" t="str"/>
      <x:c r="N7" s="81" t="str">
        <x:v>Council of Selves; Guardian/Planner/Mediator/Architect/Seeker/Weaver</x:v>
      </x:c>
      <x:c r="O7" s="81" t="str">
        <x:v>IG-001</x:v>
      </x:c>
      <x:c r="P7" s="81" t="str">
        <x:v>Lineage across multiple archetype sets unresolved.</x:v>
      </x:c>
      <x:c r="Q7" s="81" t="str">
        <x:v>Recover the smallest stable role set and one historical decision fixture.</x:v>
      </x:c>
      <x:c r="R7" s="81" t="str">
        <x:v>Roles cannot be mapped without retroactive reinterpretation.</x:v>
      </x:c>
      <x:c r="S7" s="81" t="str">
        <x:v>Keep identity language provisional.</x:v>
      </x:c>
    </x:row>
    <x:row r="8" ht="54" customHeight="1">
      <x:c r="A8" s="82" t="str">
        <x:v>IG-003</x:v>
      </x:c>
      <x:c r="B8" s="81" t="str">
        <x:v>Inner Governance</x:v>
      </x:c>
      <x:c r="C8" s="81" t="str">
        <x:v>Embodied practice</x:v>
      </x:c>
      <x:c r="D8" s="81" t="str">
        <x:v>Body Practice and Skill Acquisition</x:v>
      </x:c>
      <x:c r="E8" s="81" t="str">
        <x:v>practice system</x:v>
      </x:c>
      <x:c r="F8" s="81" t="str">
        <x:v>triaged</x:v>
      </x:c>
      <x:c r="G8" s="81" t="str">
        <x:v>bounded evidence</x:v>
      </x:c>
      <x:c r="H8" s="81" t="str">
        <x:v>confirmed project</x:v>
      </x:c>
      <x:c r="I8" s="81" t="str">
        <x:v>P1</x:v>
      </x:c>
      <x:c r="J8" s="81" t="str">
        <x:v>next</x:v>
      </x:c>
      <x:c r="K8" s="81" t="str">
        <x:v>protocol</x:v>
      </x:c>
      <x:c r="L8" s="81" t="str">
        <x:v>Increase skill, control, play and resilience through safe measurable practice.</x:v>
      </x:c>
      <x:c r="M8" s="81" t="str"/>
      <x:c r="N8" s="81" t="str">
        <x:v>strength; balance; motor learning; movement arts</x:v>
      </x:c>
      <x:c r="O8" s="81" t="str">
        <x:v>IG-004; IG-005</x:v>
      </x:c>
      <x:c r="P8" s="81" t="str">
        <x:v>Baseline measures and safe progression criteria missing.</x:v>
      </x:c>
      <x:c r="Q8" s="81" t="str">
        <x:v>Choose one low-risk skill and log stable baseline plus one-variable variation.</x:v>
      </x:c>
      <x:c r="R8" s="81" t="str">
        <x:v>Training load rises without improved control or recovery.</x:v>
      </x:c>
      <x:c r="S8" s="81" t="str">
        <x:v>Avoid hazardous stunts and appearance-driven targets; use qualified supervision where needed.</x:v>
      </x:c>
    </x:row>
    <x:row r="9" ht="54" customHeight="1">
      <x:c r="A9" s="82" t="str">
        <x:v>IG-004</x:v>
      </x:c>
      <x:c r="B9" s="81" t="str">
        <x:v>Inner Governance</x:v>
      </x:c>
      <x:c r="C9" s="81" t="str">
        <x:v>Embodied practice</x:v>
      </x:c>
      <x:c r="D9" s="81" t="str">
        <x:v>Qigong and Visualization Research</x:v>
      </x:c>
      <x:c r="E9" s="81" t="str">
        <x:v>research/practice</x:v>
      </x:c>
      <x:c r="F9" s="81" t="str">
        <x:v>triaged</x:v>
      </x:c>
      <x:c r="G9" s="81" t="str">
        <x:v>testable hypothesis</x:v>
      </x:c>
      <x:c r="H9" s="81" t="str">
        <x:v>confirmed project</x:v>
      </x:c>
      <x:c r="I9" s="81" t="str">
        <x:v>P2</x:v>
      </x:c>
      <x:c r="J9" s="81" t="str">
        <x:v>later</x:v>
      </x:c>
      <x:c r="K9" s="81" t="str">
        <x:v>dossier</x:v>
      </x:c>
      <x:c r="L9" s="81" t="str">
        <x:v>Separate supported training effects from tradition, analogy and speculation.</x:v>
      </x:c>
      <x:c r="M9" s="81" t="str"/>
      <x:c r="N9" s="81" t="str">
        <x:v>qigong; visualization; motor learning</x:v>
      </x:c>
      <x:c r="O9" s="81" t="str">
        <x:v>IG-003; IG-005</x:v>
      </x:c>
      <x:c r="P9" s="81" t="str">
        <x:v>Mechanism claims and transferable outcomes need evidence review.</x:v>
      </x:c>
      <x:c r="Q9" s="81" t="str">
        <x:v>Define one outcome and compare ordinary practice with a bounded visualization condition.</x:v>
      </x:c>
      <x:c r="R9" s="81" t="str">
        <x:v>No measurable or decision-relevant difference.</x:v>
      </x:c>
      <x:c r="S9" s="81" t="str">
        <x:v>Non-diagnostic; no superiority claims without evidence.</x:v>
      </x:c>
    </x:row>
    <x:row r="10" ht="54" customHeight="1">
      <x:c r="A10" s="82" t="str">
        <x:v>IG-005</x:v>
      </x:c>
      <x:c r="B10" s="81" t="str">
        <x:v>Inner Governance</x:v>
      </x:c>
      <x:c r="C10" s="81" t="str">
        <x:v>Embodied practice</x:v>
      </x:c>
      <x:c r="D10" s="81" t="str">
        <x:v>Biofeedback and Sonification</x:v>
      </x:c>
      <x:c r="E10" s="81" t="str">
        <x:v>measurement system</x:v>
      </x:c>
      <x:c r="F10" s="81" t="str">
        <x:v>triaged</x:v>
      </x:c>
      <x:c r="G10" s="81" t="str">
        <x:v>testable hypothesis</x:v>
      </x:c>
      <x:c r="H10" s="81" t="str">
        <x:v>confirmed project</x:v>
      </x:c>
      <x:c r="I10" s="81" t="str">
        <x:v>P1</x:v>
      </x:c>
      <x:c r="J10" s="81" t="str">
        <x:v>next</x:v>
      </x:c>
      <x:c r="K10" s="81" t="str">
        <x:v>dashboard</x:v>
      </x:c>
      <x:c r="L10" s="81" t="str">
        <x:v>Make bodily or environmental signals perceptible without turning observations into verdicts.</x:v>
      </x:c>
      <x:c r="M10" s="81" t="str"/>
      <x:c r="N10" s="81" t="str">
        <x:v>NeuronBenchwork; oscilloscope/amplifier concept</x:v>
      </x:c>
      <x:c r="O10" s="81" t="str">
        <x:v>IG-003; Sensor Stack</x:v>
      </x:c>
      <x:c r="P10" s="81" t="str">
        <x:v>Signal validity, calibration and action mapping unresolved.</x:v>
      </x:c>
      <x:c r="Q10" s="81" t="str">
        <x:v>Sonify one safe, verified signal and test whether it improves recognition or control.</x:v>
      </x:c>
      <x:c r="R10" s="81" t="str">
        <x:v>Output adds fascination but no reliable perception or action.</x:v>
      </x:c>
      <x:c r="S10" s="81" t="str">
        <x:v>Signals are observations, not diagnoses.</x:v>
      </x:c>
    </x:row>
    <x:row r="11" ht="54" customHeight="1">
      <x:c r="A11" s="82" t="str">
        <x:v>APP-050</x:v>
      </x:c>
      <x:c r="B11" s="81" t="str">
        <x:v>Inner Governance</x:v>
      </x:c>
      <x:c r="C11" s="81" t="str">
        <x:v>Care</x:v>
      </x:c>
      <x:c r="D11" s="81" t="str">
        <x:v>Cat Canon</x:v>
      </x:c>
      <x:c r="E11" s="81" t="str">
        <x:v>app</x:v>
      </x:c>
      <x:c r="F11" s="81" t="str">
        <x:v>triaged</x:v>
      </x:c>
      <x:c r="G11" s="81" t="str">
        <x:v>bounded evidence</x:v>
      </x:c>
      <x:c r="H11" s="81" t="str">
        <x:v>confirmed project</x:v>
      </x:c>
      <x:c r="I11" s="81" t="str">
        <x:v>P1</x:v>
      </x:c>
      <x:c r="J11" s="81" t="str">
        <x:v>next</x:v>
      </x:c>
      <x:c r="K11" s="81" t="str">
        <x:v>registry</x:v>
      </x:c>
      <x:c r="L11" s="81" t="str">
        <x:v>Preserve care observations, interventions and questions for veterinary review.</x:v>
      </x:c>
      <x:c r="M11" s="81" t="str">
        <x:v>APP_ATLAS_V1.md; app_atlas_v1.json</x:v>
      </x:c>
      <x:c r="N11" s="81" t="str">
        <x:v>cat care plan; observation logs</x:v>
      </x:c>
      <x:c r="O11" s="81" t="str">
        <x:v>IG-006</x:v>
      </x:c>
      <x:c r="P11" s="81" t="str">
        <x:v>No unified history or export schema confirmed.</x:v>
      </x:c>
      <x:c r="Q11" s="81" t="str">
        <x:v>Create one observation record with environment, behavior, intervention and outcome.</x:v>
      </x:c>
      <x:c r="R11" s="81" t="str">
        <x:v>Record cannot distinguish observation from interpretation.</x:v>
      </x:c>
      <x:c r="S11" s="81" t="str">
        <x:v>Health concerns remain questions for a veterinarian.</x:v>
      </x:c>
    </x:row>
    <x:row r="12" ht="54" customHeight="1">
      <x:c r="A12" s="82" t="str">
        <x:v>IG-006</x:v>
      </x:c>
      <x:c r="B12" s="81" t="str">
        <x:v>Inner Governance</x:v>
      </x:c>
      <x:c r="C12" s="81" t="str">
        <x:v>Care</x:v>
      </x:c>
      <x:c r="D12" s="81" t="str">
        <x:v>Cat Care Operating Protocol</x:v>
      </x:c>
      <x:c r="E12" s="81" t="str">
        <x:v>care protocol</x:v>
      </x:c>
      <x:c r="F12" s="81" t="str">
        <x:v>active</x:v>
      </x:c>
      <x:c r="G12" s="81" t="str">
        <x:v>bounded evidence</x:v>
      </x:c>
      <x:c r="H12" s="81" t="str">
        <x:v>confirmed project</x:v>
      </x:c>
      <x:c r="I12" s="81" t="str">
        <x:v>P1</x:v>
      </x:c>
      <x:c r="J12" s="81" t="str">
        <x:v>now</x:v>
      </x:c>
      <x:c r="K12" s="81" t="str">
        <x:v>protocol</x:v>
      </x:c>
      <x:c r="L12" s="81" t="str">
        <x:v>Coordinate hygiene, comfort, grooming, window safety and health questions.</x:v>
      </x:c>
      <x:c r="M12" s="81" t="str"/>
      <x:c r="N12" s="81" t="str">
        <x:v>weekly care plan</x:v>
      </x:c>
      <x:c r="O12" s="81" t="str">
        <x:v>APP-050; House OS</x:v>
      </x:c>
      <x:c r="P12" s="81" t="str">
        <x:v>Existing schedules and medical logs are not yet consolidated.</x:v>
      </x:c>
      <x:c r="Q12" s="81" t="str">
        <x:v>Map one week of care tasks to zones, supplies and observations.</x:v>
      </x:c>
      <x:c r="R12" s="81" t="str">
        <x:v>Protocol increases burden without improving care continuity.</x:v>
      </x:c>
      <x:c r="S12" s="81" t="str">
        <x:v>Non-diagnostic; animal-safe materials only.</x:v>
      </x:c>
    </x:row>
    <x:row r="13" ht="54" customHeight="1">
      <x:c r="A13" s="82" t="str">
        <x:v>IG-007</x:v>
      </x:c>
      <x:c r="B13" s="81" t="str">
        <x:v>Inner Governance</x:v>
      </x:c>
      <x:c r="C13" s="81" t="str">
        <x:v>Care</x:v>
      </x:c>
      <x:c r="D13" s="81" t="str">
        <x:v>Home Care and Room Reset</x:v>
      </x:c>
      <x:c r="E13" s="81" t="str">
        <x:v>care/maintenance system</x:v>
      </x:c>
      <x:c r="F13" s="81" t="str">
        <x:v>staged</x:v>
      </x:c>
      <x:c r="G13" s="81" t="str">
        <x:v>established</x:v>
      </x:c>
      <x:c r="H13" s="81" t="str">
        <x:v>confirmed project</x:v>
      </x:c>
      <x:c r="I13" s="81" t="str">
        <x:v>P0</x:v>
      </x:c>
      <x:c r="J13" s="81" t="str">
        <x:v>now</x:v>
      </x:c>
      <x:c r="K13" s="81" t="str">
        <x:v>physical cassette</x:v>
      </x:c>
      <x:c r="L13" s="81" t="str">
        <x:v>Make restoration of a usable room state fast, visible and repeatable.</x:v>
      </x:c>
      <x:c r="M13" s="81" t="str"/>
      <x:c r="N13" s="81" t="str">
        <x:v>Open Air Forge OS; C13; Room Reset cassette</x:v>
      </x:c>
      <x:c r="O13" s="81" t="str">
        <x:v>C05; C13; WD-003</x:v>
      </x:c>
      <x:c r="P13" s="81" t="str">
        <x:v>Actual carrier, reset manifest and baseline times unverified.</x:v>
      </x:c>
      <x:c r="Q13" s="81" t="str">
        <x:v>Run three reset sessions using an existing carrier; record start/reset time and missing objects.</x:v>
      </x:c>
      <x:c r="R13" s="81" t="str">
        <x:v>Reset time or debt does not improve across three sessions.</x:v>
      </x:c>
      <x:c r="S13" s="81" t="str">
        <x:v>No purchase unless the gate passes.</x:v>
      </x:c>
    </x:row>
    <x:row r="14" ht="54" customHeight="1">
      <x:c r="A14" s="82" t="str">
        <x:v>IG-008</x:v>
      </x:c>
      <x:c r="B14" s="81" t="str">
        <x:v>Inner Governance</x:v>
      </x:c>
      <x:c r="C14" s="81" t="str">
        <x:v>Embodied record</x:v>
      </x:c>
      <x:c r="D14" s="81" t="str">
        <x:v>Body Timeline</x:v>
      </x:c>
      <x:c r="E14" s="81" t="str">
        <x:v>app/record</x:v>
      </x:c>
      <x:c r="F14" s="81" t="str">
        <x:v>captured</x:v>
      </x:c>
      <x:c r="G14" s="81" t="str">
        <x:v>bounded evidence</x:v>
      </x:c>
      <x:c r="H14" s="81" t="str">
        <x:v>confirmed project</x:v>
      </x:c>
      <x:c r="I14" s="81" t="str">
        <x:v>P2</x:v>
      </x:c>
      <x:c r="J14" s="81" t="str">
        <x:v>later</x:v>
      </x:c>
      <x:c r="K14" s="81" t="str">
        <x:v>fieldnote capture sheet</x:v>
      </x:c>
      <x:c r="L14" s="81" t="str">
        <x:v>Keep descriptive training and health observations exportable without a diagnostic engine.</x:v>
      </x:c>
      <x:c r="M14" s="81" t="str">
        <x:v>APP_ATLAS_V1.md</x:v>
      </x:c>
      <x:c r="N14" s="81" t="str">
        <x:v>App Atlas incubate list</x:v>
      </x:c>
      <x:c r="O14" s="81" t="str">
        <x:v>IG-003</x:v>
      </x:c>
      <x:c r="P14" s="81" t="str">
        <x:v>Inputs, privacy boundary and export format unresolved.</x:v>
      </x:c>
      <x:c r="Q14" s="81" t="str">
        <x:v>Draft one neutral timeline record and export view.</x:v>
      </x:c>
      <x:c r="R14" s="81" t="str">
        <x:v>The record implies diagnosis or reinforces appearance monitoring.</x:v>
      </x:c>
      <x:c r="S14" s="81" t="str">
        <x:v>No personalized weight-loss or appearance scoring.</x:v>
      </x:c>
    </x:row>
    <x:row r="15" ht="54" customHeight="1">
      <x:c r="A15" s="82" t="str">
        <x:v>IG-009</x:v>
      </x:c>
      <x:c r="B15" s="81" t="str">
        <x:v>Inner Governance</x:v>
      </x:c>
      <x:c r="C15" s="81" t="str">
        <x:v>Field deck</x:v>
      </x:c>
      <x:c r="D15" s="81" t="str">
        <x:v>Wellness Bingo</x:v>
      </x:c>
      <x:c r="E15" s="81" t="str">
        <x:v>app/mechanic</x:v>
      </x:c>
      <x:c r="F15" s="81" t="str">
        <x:v>cooling down</x:v>
      </x:c>
      <x:c r="G15" s="81" t="str">
        <x:v>unknown</x:v>
      </x:c>
      <x:c r="H15" s="81" t="str">
        <x:v>confirmed project</x:v>
      </x:c>
      <x:c r="I15" s="81" t="str">
        <x:v>P3</x:v>
      </x:c>
      <x:c r="J15" s="81" t="str">
        <x:v>hold</x:v>
      </x:c>
      <x:c r="K15" s="81" t="str">
        <x:v>fieldnote capture sheet</x:v>
      </x:c>
      <x:c r="L15" s="81" t="str">
        <x:v>Test whether the board primitive supports varied healthy practices.</x:v>
      </x:c>
      <x:c r="M15" s="81" t="str">
        <x:v>APP_ATLAS_V1.md</x:v>
      </x:c>
      <x:c r="N15" s="81" t="str">
        <x:v>App Atlas incubate list</x:v>
      </x:c>
      <x:c r="O15" s="81" t="str">
        <x:v>field-deck system</x:v>
      </x:c>
      <x:c r="P15" s="81" t="str">
        <x:v>Unclear whether it deserves a standalone product.</x:v>
      </x:c>
      <x:c r="Q15" s="81" t="str">
        <x:v>Decide finish-and-archive versus merge board primitive into field decks.</x:v>
      </x:c>
      <x:c r="R15" s="81" t="str">
        <x:v>No distinct value beyond an ordinary checklist.</x:v>
      </x:c>
      <x:c r="S15" s="81" t="str">
        <x:v>Avoid compulsive tracking or excessive exercise.</x:v>
      </x:c>
    </x:row>
    <x:row r="16" ht="54" customHeight="1">
      <x:c r="A16" s="82" t="str">
        <x:v>IG-010</x:v>
      </x:c>
      <x:c r="B16" s="81" t="str">
        <x:v>Inner Governance</x:v>
      </x:c>
      <x:c r="C16" s="81" t="str">
        <x:v>Council</x:v>
      </x:c>
      <x:c r="D16" s="81" t="str">
        <x:v>Voice Runtime / Deliberation Engine</x:v>
      </x:c>
      <x:c r="E16" s="81" t="str">
        <x:v>runtime</x:v>
      </x:c>
      <x:c r="F16" s="81" t="str">
        <x:v>captured</x:v>
      </x:c>
      <x:c r="G16" s="81" t="str">
        <x:v>testable hypothesis</x:v>
      </x:c>
      <x:c r="H16" s="81" t="str">
        <x:v>proposal only</x:v>
      </x:c>
      <x:c r="I16" s="81" t="str">
        <x:v>P2</x:v>
      </x:c>
      <x:c r="J16" s="81" t="str">
        <x:v>later</x:v>
      </x:c>
      <x:c r="K16" s="81" t="str">
        <x:v>code artifact</x:v>
      </x:c>
      <x:c r="L16" s="81" t="str">
        <x:v>Run bounded viewpoints as a traceable deliberation rather than theatrical personas.</x:v>
      </x:c>
      <x:c r="M16" s="81" t="str"/>
      <x:c r="N16" s="81" t="str">
        <x:v>Council of Selves; prior reconstruction</x:v>
      </x:c>
      <x:c r="O16" s="81" t="str">
        <x:v>IG-001; APP-020</x:v>
      </x:c>
      <x:c r="P16" s="81" t="str">
        <x:v>No confirmed runtime or voice registry.</x:v>
      </x:c>
      <x:c r="Q16" s="81" t="str">
        <x:v>Specify one input/output trace and stop rule before implementation.</x:v>
      </x:c>
      <x:c r="R16" s="81" t="str">
        <x:v>Runtime produces more narration than decision quality.</x:v>
      </x:c>
      <x:c r="S16" s="81" t="str">
        <x:v>No impersonation or autonomous external action.</x:v>
      </x:c>
    </x:row>
    <x:row r="17" ht="54" customHeight="1">
      <x:c r="A17" s="82" t="str">
        <x:v>KS-001</x:v>
      </x:c>
      <x:c r="B17" s="81" t="str">
        <x:v>Knowledge Substrate</x:v>
      </x:c>
      <x:c r="C17" s="81" t="str">
        <x:v>Formal system</x:v>
      </x:c>
      <x:c r="D17" s="81" t="str">
        <x:v>SINDERESIS</x:v>
      </x:c>
      <x:c r="E17" s="81" t="str">
        <x:v>language/specification</x:v>
      </x:c>
      <x:c r="F17" s="81" t="str">
        <x:v>active</x:v>
      </x:c>
      <x:c r="G17" s="81" t="str">
        <x:v>testable hypothesis</x:v>
      </x:c>
      <x:c r="H17" s="81" t="str">
        <x:v>confirmed artifact</x:v>
      </x:c>
      <x:c r="I17" s="81" t="str">
        <x:v>P0</x:v>
      </x:c>
      <x:c r="J17" s="81" t="str">
        <x:v>now</x:v>
      </x:c>
      <x:c r="K17" s="81" t="str">
        <x:v>dossier</x:v>
      </x:c>
      <x:c r="L17" s="81" t="str">
        <x:v>Represent thought as situated symbols and inspectable transformations.</x:v>
      </x:c>
      <x:c r="M17" s="81" t="str">
        <x:v>SINDERESIS-working-outline.md; source NotesforDraftofSINDERESIS.md</x:v>
      </x:c>
      <x:c r="N17" s="81" t="str">
        <x:v>2019 source; working outline</x:v>
      </x:c>
      <x:c r="O17" s="81" t="str">
        <x:v>CONST-001; Symbolic Language</x:v>
      </x:c>
      <x:c r="P17" s="81" t="str">
        <x:v>Primary deliverable, user and executable grammar remain unresolved.</x:v>
      </x:c>
      <x:c r="Q17" s="81" t="str">
        <x:v>Write term.json v0 plus fixtures for token, space, context, mode, transform, promise and seal.</x:v>
      </x:c>
      <x:c r="R17" s="81" t="str">
        <x:v>No minimal reversible interpretation can be demonstrated.</x:v>
      </x:c>
      <x:c r="S17" s="81" t="str">
        <x:v>Pain/perception material remains phenomenological, not medical mechanism.</x:v>
      </x:c>
    </x:row>
    <x:row r="18" ht="54" customHeight="1">
      <x:c r="A18" s="82" t="str">
        <x:v>KS-002</x:v>
      </x:c>
      <x:c r="B18" s="81" t="str">
        <x:v>Knowledge Substrate</x:v>
      </x:c>
      <x:c r="C18" s="81" t="str">
        <x:v>Epistemic security</x:v>
      </x:c>
      <x:c r="D18" s="81" t="str">
        <x:v>CSOS / Epistemic Security</x:v>
      </x:c>
      <x:c r="E18" s="81" t="str">
        <x:v>control system</x:v>
      </x:c>
      <x:c r="F18" s="81" t="str">
        <x:v>active</x:v>
      </x:c>
      <x:c r="G18" s="81" t="str">
        <x:v>bounded evidence</x:v>
      </x:c>
      <x:c r="H18" s="81" t="str">
        <x:v>confirmed project</x:v>
      </x:c>
      <x:c r="I18" s="81" t="str">
        <x:v>P0</x:v>
      </x:c>
      <x:c r="J18" s="81" t="str">
        <x:v>now</x:v>
      </x:c>
      <x:c r="K18" s="81" t="str">
        <x:v>protocol</x:v>
      </x:c>
      <x:c r="L18" s="81" t="str">
        <x:v>Preserve provenance, contradiction, uncertainty and saturation boundaries.</x:v>
      </x:c>
      <x:c r="M18" s="81" t="str"/>
      <x:c r="N18" s="81" t="str">
        <x:v>Epistemic Security Strategy; Proof Ledger</x:v>
      </x:c>
      <x:c r="O18" s="81" t="str">
        <x:v>CONST-001; C03</x:v>
      </x:c>
      <x:c r="P18" s="81" t="str">
        <x:v>Canonical machine-readable schema not yet consolidated.</x:v>
      </x:c>
      <x:c r="Q18" s="81" t="str">
        <x:v>Apply status and revision-trigger fields to every Gate 1 row.</x:v>
      </x:c>
      <x:c r="R18" s="81" t="str">
        <x:v>Registry smooths contradictions or treats repetition as corroboration.</x:v>
      </x:c>
      <x:c r="S18" s="81" t="str">
        <x:v>Privacy-minimizing attribution.</x:v>
      </x:c>
    </x:row>
    <x:row r="19" ht="54" customHeight="1">
      <x:c r="A19" s="82" t="str">
        <x:v>KS-003</x:v>
      </x:c>
      <x:c r="B19" s="81" t="str">
        <x:v>Knowledge Substrate</x:v>
      </x:c>
      <x:c r="C19" s="81" t="str">
        <x:v>Federation registry</x:v>
      </x:c>
      <x:c r="D19" s="81" t="str">
        <x:v>Master Index and Artifact Registry</x:v>
      </x:c>
      <x:c r="E19" s="81" t="str">
        <x:v>registry</x:v>
      </x:c>
      <x:c r="F19" s="81" t="str">
        <x:v>active</x:v>
      </x:c>
      <x:c r="G19" s="81" t="str">
        <x:v>established</x:v>
      </x:c>
      <x:c r="H19" s="81" t="str">
        <x:v>confirmed artifact</x:v>
      </x:c>
      <x:c r="I19" s="81" t="str">
        <x:v>P0</x:v>
      </x:c>
      <x:c r="J19" s="81" t="str">
        <x:v>now</x:v>
      </x:c>
      <x:c r="K19" s="81" t="str">
        <x:v>registry</x:v>
      </x:c>
      <x:c r="L19" s="81" t="str">
        <x:v>Make the federation findable, filterable and non-destructively extensible.</x:v>
      </x:c>
      <x:c r="M19" s="81" t="str">
        <x:v>PROJECT-FEDERATION-GATE1-v0.1.xlsx</x:v>
      </x:c>
      <x:c r="N19" s="81" t="str">
        <x:v>CONST-001 Gate 1</x:v>
      </x:c>
      <x:c r="O19" s="81" t="str">
        <x:v>all provinces</x:v>
      </x:c>
      <x:c r="P19" s="81" t="str">
        <x:v>Deep archive coverage and hash inventory remain incomplete.</x:v>
      </x:c>
      <x:c r="Q19" s="81" t="str">
        <x:v>Populate and validate the first workbook; test update on one new artifact.</x:v>
      </x:c>
      <x:c r="R19" s="81" t="str">
        <x:v>Stable IDs collide or variants require deletion to fit.</x:v>
      </x:c>
      <x:c r="S19" s="81" t="str">
        <x:v>No destructive deduplication.</x:v>
      </x:c>
    </x:row>
    <x:row r="20" ht="54" customHeight="1">
      <x:c r="A20" s="82" t="str">
        <x:v>KS-004</x:v>
      </x:c>
      <x:c r="B20" s="81" t="str">
        <x:v>Knowledge Substrate</x:v>
      </x:c>
      <x:c r="C20" s="81" t="str">
        <x:v>Lineage/Civilization Research</x:v>
      </x:c>
      <x:c r="D20" s="81" t="str">
        <x:v>Code Archaeology and Project Lineage</x:v>
      </x:c>
      <x:c r="E20" s="81" t="str">
        <x:v>recovery system</x:v>
      </x:c>
      <x:c r="F20" s="81" t="str">
        <x:v>triaged</x:v>
      </x:c>
      <x:c r="G20" s="81" t="str">
        <x:v>established</x:v>
      </x:c>
      <x:c r="H20" s="81" t="str">
        <x:v>confirmed project</x:v>
      </x:c>
      <x:c r="I20" s="81" t="str">
        <x:v>P0</x:v>
      </x:c>
      <x:c r="J20" s="81" t="str">
        <x:v>now</x:v>
      </x:c>
      <x:c r="K20" s="81" t="str">
        <x:v>registry</x:v>
      </x:c>
      <x:c r="L20" s="81" t="str">
        <x:v>Recover actual lineage across duplicated, renamed and abandoned implementations.</x:v>
      </x:c>
      <x:c r="M20" s="81" t="str"/>
      <x:c r="N20" s="81" t="str">
        <x:v>CODE folder; Drive families; KRAKEN; proto-kernel</x:v>
      </x:c>
      <x:c r="O20" s="81" t="str">
        <x:v>KS-023; KS-005</x:v>
      </x:c>
      <x:c r="P20" s="81" t="str">
        <x:v>No metadata/hash manifest yet.</x:v>
      </x:c>
      <x:c r="Q20" s="81" t="str">
        <x:v>Inventory CODE and Drive artifact families by metadata/hash without deletion.</x:v>
      </x:c>
      <x:c r="R20" s="81" t="str">
        <x:v>Hash/metadata cannot distinguish variants or source access remains incomplete.</x:v>
      </x:c>
      <x:c r="S20" s="81" t="str">
        <x:v>Read-only inventory first.</x:v>
      </x:c>
    </x:row>
    <x:row r="21" ht="54" customHeight="1">
      <x:c r="A21" s="82" t="str">
        <x:v>A003</x:v>
      </x:c>
      <x:c r="B21" s="81" t="str">
        <x:v>Knowledge Substrate</x:v>
      </x:c>
      <x:c r="C21" s="81" t="str">
        <x:v>Laconic recovery</x:v>
      </x:c>
      <x:c r="D21" s="81" t="str">
        <x:v>Missingness Recovery Runner</x:v>
      </x:c>
      <x:c r="E21" s="81" t="str">
        <x:v>recovery tool</x:v>
      </x:c>
      <x:c r="F21" s="81" t="str">
        <x:v>cooling down</x:v>
      </x:c>
      <x:c r="G21" s="81" t="str">
        <x:v>bounded evidence</x:v>
      </x:c>
      <x:c r="H21" s="81" t="str">
        <x:v>confirmed artifact</x:v>
      </x:c>
      <x:c r="I21" s="81" t="str">
        <x:v>P0</x:v>
      </x:c>
      <x:c r="J21" s="81" t="str">
        <x:v>now</x:v>
      </x:c>
      <x:c r="K21" s="81" t="str">
        <x:v>code artifact</x:v>
      </x:c>
      <x:c r="L21" s="81" t="str">
        <x:v>Search declared gaps before canonization.</x:v>
      </x:c>
      <x:c r="M21" s="81" t="str">
        <x:v>ART-026; ART-032–ART-037</x:v>
      </x:c>
      <x:c r="N21" s="81" t="str">
        <x:v>A001/A002 sequence</x:v>
      </x:c>
      <x:c r="O21" s="81" t="str">
        <x:v>KS-004; A001; source access</x:v>
      </x:c>
      <x:c r="P21" s="81" t="str">
        <x:v>Original bank object unresolved; chronology gap remains; visual census incomplete.</x:v>
      </x:c>
      <x:c r="Q21" s="81" t="str">
        <x:v>Rerun on new source pack; continue OCR in bounded batches; verify candidate returns.</x:v>
      </x:c>
      <x:c r="R21" s="81" t="str">
        <x:v>Redesign if source identity or audit trace cannot survive; revise gap boundary when new timestamps arrive.</x:v>
      </x:c>
      <x:c r="S21" s="81" t="str">
        <x:v>No auto-promotion; no global absence claim from scoped zero-results.</x:v>
      </x:c>
    </x:row>
    <x:row r="22" ht="54" customHeight="1">
      <x:c r="A22" s="82" t="str">
        <x:v>A001</x:v>
      </x:c>
      <x:c r="B22" s="81" t="str">
        <x:v>Knowledge Substrate</x:v>
      </x:c>
      <x:c r="C22" s="81" t="str">
        <x:v>Laconic recovery</x:v>
      </x:c>
      <x:c r="D22" s="81" t="str">
        <x:v>Searchable Laconic Ledger</x:v>
      </x:c>
      <x:c r="E22" s="81" t="str">
        <x:v>registry</x:v>
      </x:c>
      <x:c r="F22" s="81" t="str">
        <x:v>active</x:v>
      </x:c>
      <x:c r="G22" s="81" t="str">
        <x:v>established</x:v>
      </x:c>
      <x:c r="H22" s="81" t="str">
        <x:v>confirmed project</x:v>
      </x:c>
      <x:c r="I22" s="81" t="str">
        <x:v>P0</x:v>
      </x:c>
      <x:c r="J22" s="81" t="str">
        <x:v>now</x:v>
      </x:c>
      <x:c r="K22" s="81" t="str">
        <x:v>registry</x:v>
      </x:c>
      <x:c r="L22" s="81" t="str">
        <x:v>Make recovered lines searchable with provenance, variants and status.</x:v>
      </x:c>
      <x:c r="M22" s="81" t="str">
        <x:v>ARTIFACT_QUEUE.md</x:v>
      </x:c>
      <x:c r="N22" s="81" t="str">
        <x:v>195 master-ledger items; multilingual treasury</x:v>
      </x:c>
      <x:c r="O22" s="81" t="str">
        <x:v>A003 run 01; recovered line rows</x:v>
      </x:c>
      <x:c r="P22" s="81" t="str">
        <x:v>Import not yet executed; exact source-return interface still absent.</x:v>
      </x:c>
      <x:c r="Q22" s="81" t="str">
        <x:v>Import L001–L195 + multilingual treasury with provenance, variants and source-return fields.</x:v>
      </x:c>
      <x:c r="R22" s="81" t="str">
        <x:v>A row cannot return to a source or distinguishes neither author nor variant.</x:v>
      </x:c>
      <x:c r="S22" s="81" t="str">
        <x:v>Do not silently normalize wording.</x:v>
      </x:c>
    </x:row>
    <x:row r="23" ht="54" customHeight="1">
      <x:c r="A23" s="82" t="str">
        <x:v>A002</x:v>
      </x:c>
      <x:c r="B23" s="81" t="str">
        <x:v>Knowledge Substrate</x:v>
      </x:c>
      <x:c r="C23" s="81" t="str">
        <x:v>Laconic recovery</x:v>
      </x:c>
      <x:c r="D23" s="81" t="str">
        <x:v>Canonical Line Book and Provenance Sidecar</x:v>
      </x:c>
      <x:c r="E23" s="81" t="str">
        <x:v>canon</x:v>
      </x:c>
      <x:c r="F23" s="81" t="str">
        <x:v>captured</x:v>
      </x:c>
      <x:c r="G23" s="81" t="str">
        <x:v>bounded evidence</x:v>
      </x:c>
      <x:c r="H23" s="81" t="str">
        <x:v>confirmed project</x:v>
      </x:c>
      <x:c r="I23" s="81" t="str">
        <x:v>P1</x:v>
      </x:c>
      <x:c r="J23" s="81" t="str">
        <x:v>next</x:v>
      </x:c>
      <x:c r="K23" s="81" t="str">
        <x:v>canon page</x:v>
      </x:c>
      <x:c r="L23" s="81" t="str">
        <x:v>Publish selected lines without severing variants and lineage.</x:v>
      </x:c>
      <x:c r="M23" s="81" t="str">
        <x:v>ARTIFACT_QUEUE.md</x:v>
      </x:c>
      <x:c r="N23" s="81" t="str">
        <x:v>A001</x:v>
      </x:c>
      <x:c r="O23" s="81" t="str">
        <x:v>A001</x:v>
      </x:c>
      <x:c r="P23" s="81" t="str">
        <x:v>Promotion criteria and authorship boundaries unresolved.</x:v>
      </x:c>
      <x:c r="Q23" s="81" t="str">
        <x:v>Define promotion rules and test on ten lines after ledger completion.</x:v>
      </x:c>
      <x:c r="R23" s="81" t="str">
        <x:v>Canon selection cannot explain exclusions or provenance.</x:v>
      </x:c>
      <x:c r="S23" s="81" t="str">
        <x:v>No false authorship claims.</x:v>
      </x:c>
    </x:row>
    <x:row r="24" ht="54" customHeight="1">
      <x:c r="A24" s="82" t="str">
        <x:v>A004</x:v>
      </x:c>
      <x:c r="B24" s="81" t="str">
        <x:v>Knowledge Substrate</x:v>
      </x:c>
      <x:c r="C24" s="81" t="str">
        <x:v>Laconic recovery</x:v>
      </x:c>
      <x:c r="D24" s="81" t="str">
        <x:v>Multilingual Line Atlas</x:v>
      </x:c>
      <x:c r="E24" s="81" t="str">
        <x:v>atlas</x:v>
      </x:c>
      <x:c r="F24" s="81" t="str">
        <x:v>canonical</x:v>
      </x:c>
      <x:c r="G24" s="81" t="str">
        <x:v>bounded evidence</x:v>
      </x:c>
      <x:c r="H24" s="81" t="str">
        <x:v>confirmed artifact</x:v>
      </x:c>
      <x:c r="I24" s="81" t="str">
        <x:v>P2</x:v>
      </x:c>
      <x:c r="J24" s="81" t="str">
        <x:v>later</x:v>
      </x:c>
      <x:c r="K24" s="81" t="str">
        <x:v>canon page</x:v>
      </x:c>
      <x:c r="L24" s="81" t="str">
        <x:v>Preserve multilingual variants and translation fan-out.</x:v>
      </x:c>
      <x:c r="M24" s="81" t="str">
        <x:v>ARTIFACT_QUEUE.md</x:v>
      </x:c>
      <x:c r="N24" s="81" t="str">
        <x:v>Laconic recovery</x:v>
      </x:c>
      <x:c r="O24" s="81" t="str">
        <x:v>A001; LACONIC_GRAMMAR.md</x:v>
      </x:c>
      <x:c r="P24" s="81" t="str">
        <x:v>Exact standalone artifact path not resolved.</x:v>
      </x:c>
      <x:c r="Q24" s="81" t="str">
        <x:v>Resolve the completed artifact and attach its stable path.</x:v>
      </x:c>
      <x:c r="R24" s="81" t="str">
        <x:v>Completed status lacks recoverable file identity.</x:v>
      </x:c>
      <x:c r="S24" s="81" t="str">
        <x:v>Translation remains variant, not equivalence.</x:v>
      </x:c>
    </x:row>
    <x:row r="25" ht="54" customHeight="1">
      <x:c r="A25" s="82" t="str">
        <x:v>KS-009</x:v>
      </x:c>
      <x:c r="B25" s="81" t="str">
        <x:v>Knowledge Substrate</x:v>
      </x:c>
      <x:c r="C25" s="81" t="str">
        <x:v>Laconic recovery</x:v>
      </x:c>
      <x:c r="D25" s="81" t="str">
        <x:v>Laconic / Iconic Script Bank</x:v>
      </x:c>
      <x:c r="E25" s="81" t="str">
        <x:v>source bank</x:v>
      </x:c>
      <x:c r="F25" s="81" t="str">
        <x:v>captured</x:v>
      </x:c>
      <x:c r="G25" s="81" t="str">
        <x:v>unknown</x:v>
      </x:c>
      <x:c r="H25" s="81" t="str">
        <x:v>unresolved</x:v>
      </x:c>
      <x:c r="I25" s="81" t="str">
        <x:v>P0</x:v>
      </x:c>
      <x:c r="J25" s="81" t="str">
        <x:v>now</x:v>
      </x:c>
      <x:c r="K25" s="81" t="str">
        <x:v>source document</x:v>
      </x:c>
      <x:c r="L25" s="81" t="str">
        <x:v>Recover the original line/script source rather than reconstruct it from later summaries.</x:v>
      </x:c>
      <x:c r="M25" s="81" t="str"/>
      <x:c r="N25" s="81" t="str">
        <x:v>prior reconstruction; ARTIFACT_QUEUE.md</x:v>
      </x:c>
      <x:c r="O25" s="81" t="str">
        <x:v>A003</x:v>
      </x:c>
      <x:c r="P25" s="81" t="str">
        <x:v>Original source is missing.</x:v>
      </x:c>
      <x:c r="Q25" s="81" t="str">
        <x:v>Search exact historical names, formats and time windows.</x:v>
      </x:c>
      <x:c r="R25" s="81" t="str">
        <x:v>No primary source found after declared searches.</x:v>
      </x:c>
      <x:c r="S25" s="81" t="str">
        <x:v>Keep reconstruction separate from source.</x:v>
      </x:c>
    </x:row>
    <x:row r="26" ht="54" customHeight="1">
      <x:c r="A26" s="82" t="str">
        <x:v>KS-010</x:v>
      </x:c>
      <x:c r="B26" s="81" t="str">
        <x:v>Knowledge Substrate</x:v>
      </x:c>
      <x:c r="C26" s="81" t="str">
        <x:v>Memory systems</x:v>
      </x:c>
      <x:c r="D26" s="81" t="str">
        <x:v>NotebookLM / Gemini Memory Workbench</x:v>
      </x:c>
      <x:c r="E26" s="81" t="str">
        <x:v>knowledge system</x:v>
      </x:c>
      <x:c r="F26" s="81" t="str">
        <x:v>triaged</x:v>
      </x:c>
      <x:c r="G26" s="81" t="str">
        <x:v>testable hypothesis</x:v>
      </x:c>
      <x:c r="H26" s="81" t="str">
        <x:v>confirmed project</x:v>
      </x:c>
      <x:c r="I26" s="81" t="str">
        <x:v>P2</x:v>
      </x:c>
      <x:c r="J26" s="81" t="str">
        <x:v>later</x:v>
      </x:c>
      <x:c r="K26" s="81" t="str">
        <x:v>prompt pack</x:v>
      </x:c>
      <x:c r="L26" s="81" t="str">
        <x:v>Run source-grounded compression, self-audit and audio overview loops.</x:v>
      </x:c>
      <x:c r="M26" s="81" t="str"/>
      <x:c r="N26" s="81" t="str">
        <x:v>NotebookLM prompts and notebooks</x:v>
      </x:c>
      <x:c r="O26" s="81" t="str">
        <x:v>KS-011; A001</x:v>
      </x:c>
      <x:c r="P26" s="81" t="str">
        <x:v>Notebook inventory and source topology unresolved.</x:v>
      </x:c>
      <x:c r="Q26" s="81" t="str">
        <x:v>Specify one notebook, source set, question loop and export contract.</x:v>
      </x:c>
      <x:c r="R26" s="81" t="str">
        <x:v>Outputs cannot return to source or add decision-relevant delta.</x:v>
      </x:c>
      <x:c r="S26" s="81" t="str">
        <x:v>Do not treat model agreement as independent evidence.</x:v>
      </x:c>
    </x:row>
    <x:row r="27" ht="54" customHeight="1">
      <x:c r="A27" s="82" t="str">
        <x:v>KS-011</x:v>
      </x:c>
      <x:c r="B27" s="81" t="str">
        <x:v>Knowledge Substrate</x:v>
      </x:c>
      <x:c r="C27" s="81" t="str">
        <x:v>Memory systems</x:v>
      </x:c>
      <x:c r="D27" s="81" t="str">
        <x:v>LLM Wiki / Personal Knowledge Substrate</x:v>
      </x:c>
      <x:c r="E27" s="81" t="str">
        <x:v>knowledge system</x:v>
      </x:c>
      <x:c r="F27" s="81" t="str">
        <x:v>captured</x:v>
      </x:c>
      <x:c r="G27" s="81" t="str">
        <x:v>testable hypothesis</x:v>
      </x:c>
      <x:c r="H27" s="81" t="str">
        <x:v>confirmed project</x:v>
      </x:c>
      <x:c r="I27" s="81" t="str">
        <x:v>P2</x:v>
      </x:c>
      <x:c r="J27" s="81" t="str">
        <x:v>later</x:v>
      </x:c>
      <x:c r="K27" s="81" t="str">
        <x:v>system</x:v>
      </x:c>
      <x:c r="L27" s="81" t="str">
        <x:v>Provide a durable modular knowledge layer parallel to prompts, skills and tools.</x:v>
      </x:c>
      <x:c r="M27" s="81" t="str"/>
      <x:c r="N27" s="81" t="str">
        <x:v>LLM wiki; folder-system discussions</x:v>
      </x:c>
      <x:c r="O27" s="81" t="str">
        <x:v>KS-003; KS-010; Sovereign Node</x:v>
      </x:c>
      <x:c r="P27" s="81" t="str">
        <x:v>Smallest architecture and migration path unresolved.</x:v>
      </x:c>
      <x:c r="Q27" s="81" t="str">
        <x:v>Define one canonical object schema and import five heterogeneous artifacts.</x:v>
      </x:c>
      <x:c r="R27" s="81" t="str">
        <x:v>The wiki duplicates files without improving retrieval or lineage.</x:v>
      </x:c>
      <x:c r="S27" s="81" t="str">
        <x:v>Local-first for sensitive memory.</x:v>
      </x:c>
    </x:row>
    <x:row r="28" ht="54" customHeight="1">
      <x:c r="A28" s="82" t="str">
        <x:v>KS-012</x:v>
      </x:c>
      <x:c r="B28" s="81" t="str">
        <x:v>Knowledge Substrate</x:v>
      </x:c>
      <x:c r="C28" s="81" t="str">
        <x:v>Epistemic security</x:v>
      </x:c>
      <x:c r="D28" s="81" t="str">
        <x:v>Proof Ledger / Provenance Atom</x:v>
      </x:c>
      <x:c r="E28" s="81" t="str">
        <x:v>registry/protocol</x:v>
      </x:c>
      <x:c r="F28" s="81" t="str">
        <x:v>triaged</x:v>
      </x:c>
      <x:c r="G28" s="81" t="str">
        <x:v>established</x:v>
      </x:c>
      <x:c r="H28" s="81" t="str">
        <x:v>confirmed project</x:v>
      </x:c>
      <x:c r="I28" s="81" t="str">
        <x:v>P1</x:v>
      </x:c>
      <x:c r="J28" s="81" t="str">
        <x:v>next</x:v>
      </x:c>
      <x:c r="K28" s="81" t="str">
        <x:v>registry</x:v>
      </x:c>
      <x:c r="L28" s="81" t="str">
        <x:v>Record before, intervention, observation, delta, cost, unexpected and return.</x:v>
      </x:c>
      <x:c r="M28" s="81" t="str">
        <x:v>THE-WORLD-MUST-REMAIN-ANSWERABLE.md</x:v>
      </x:c>
      <x:c r="N28" s="81" t="str">
        <x:v>CSOS; Sleeper atlas laws</x:v>
      </x:c>
      <x:c r="O28" s="81" t="str">
        <x:v>KS-002</x:v>
      </x:c>
      <x:c r="P28" s="81" t="str">
        <x:v>No standalone reusable template confirmed.</x:v>
      </x:c>
      <x:c r="Q28" s="81" t="str">
        <x:v>Create one ledger record for the Room Reset test.</x:v>
      </x:c>
      <x:c r="R28" s="81" t="str">
        <x:v>Record cannot separate observation from interpretation.</x:v>
      </x:c>
      <x:c r="S28" s="81" t="str">
        <x:v>Minimize personal data.</x:v>
      </x:c>
    </x:row>
    <x:row r="29" ht="54" customHeight="1">
      <x:c r="A29" s="82" t="str">
        <x:v>APP-003</x:v>
      </x:c>
      <x:c r="B29" s="81" t="str">
        <x:v>Knowledge Substrate</x:v>
      </x:c>
      <x:c r="C29" s="81" t="str">
        <x:v>Canon control</x:v>
      </x:c>
      <x:c r="D29" s="81" t="str">
        <x:v>Canon Console</x:v>
      </x:c>
      <x:c r="E29" s="81" t="str">
        <x:v>app</x:v>
      </x:c>
      <x:c r="F29" s="81" t="str">
        <x:v>triaged</x:v>
      </x:c>
      <x:c r="G29" s="81" t="str">
        <x:v>testable hypothesis</x:v>
      </x:c>
      <x:c r="H29" s="81" t="str">
        <x:v>confirmed artifact</x:v>
      </x:c>
      <x:c r="I29" s="81" t="str">
        <x:v>P1</x:v>
      </x:c>
      <x:c r="J29" s="81" t="str">
        <x:v>next</x:v>
      </x:c>
      <x:c r="K29" s="81" t="str">
        <x:v>app</x:v>
      </x:c>
      <x:c r="L29" s="81" t="str">
        <x:v>Review source, status, branch, function and preserve/promote/branch/revise/reject moves.</x:v>
      </x:c>
      <x:c r="M29" s="81" t="str">
        <x:v>APP_ATLAS_V1.md; app_atlas_v1.json</x:v>
      </x:c>
      <x:c r="N29" s="81" t="str">
        <x:v>App Atlas build list</x:v>
      </x:c>
      <x:c r="O29" s="81" t="str">
        <x:v>KS-002; KS-003</x:v>
      </x:c>
      <x:c r="P29" s="81" t="str">
        <x:v>No prototype or interaction fixture.</x:v>
      </x:c>
      <x:c r="Q29" s="81" t="str">
        <x:v>Paper-simulate ten candidate items and count ambiguous moves.</x:v>
      </x:c>
      <x:c r="R29" s="81" t="str">
        <x:v>Decisions require hidden lore or cannot preserve variants.</x:v>
      </x:c>
      <x:c r="S29" s="81" t="str">
        <x:v>No destructive merge by default.</x:v>
      </x:c>
    </x:row>
    <x:row r="30" ht="54" customHeight="1">
      <x:c r="A30" s="82" t="str">
        <x:v>APP-004</x:v>
      </x:c>
      <x:c r="B30" s="81" t="str">
        <x:v>Knowledge Substrate</x:v>
      </x:c>
      <x:c r="C30" s="81" t="str">
        <x:v>Transfer</x:v>
      </x:c>
      <x:c r="D30" s="81" t="str">
        <x:v>Transfer Bench</x:v>
      </x:c>
      <x:c r="E30" s="81" t="str">
        <x:v>app</x:v>
      </x:c>
      <x:c r="F30" s="81" t="str">
        <x:v>triaged</x:v>
      </x:c>
      <x:c r="G30" s="81" t="str">
        <x:v>testable hypothesis</x:v>
      </x:c>
      <x:c r="H30" s="81" t="str">
        <x:v>confirmed artifact</x:v>
      </x:c>
      <x:c r="I30" s="81" t="str">
        <x:v>P1</x:v>
      </x:c>
      <x:c r="J30" s="81" t="str">
        <x:v>next</x:v>
      </x:c>
      <x:c r="K30" s="81" t="str">
        <x:v>app</x:v>
      </x:c>
      <x:c r="L30" s="81" t="str">
        <x:v>Move mechanisms across projects without copying surface vocabulary.</x:v>
      </x:c>
      <x:c r="M30" s="81" t="str">
        <x:v>APP_ATLAS_V1.md; app_atlas_v1.json</x:v>
      </x:c>
      <x:c r="N30" s="81" t="str">
        <x:v>App Atlas build list</x:v>
      </x:c>
      <x:c r="O30" s="81" t="str">
        <x:v>APP-003; C03</x:v>
      </x:c>
      <x:c r="P30" s="81" t="str">
        <x:v>Transfer record schema untested.</x:v>
      </x:c>
      <x:c r="Q30" s="81" t="str">
        <x:v>Transfer one operator between Sleeper and House OS with invariant, changed variables and test.</x:v>
      </x:c>
      <x:c r="R30" s="81" t="str">
        <x:v>Transfer collapses distinct canon or imports unsupported claims.</x:v>
      </x:c>
      <x:c r="S30" s="81" t="str">
        <x:v>Analogy remains typed.</x:v>
      </x:c>
    </x:row>
    <x:row r="31" ht="54" customHeight="1">
      <x:c r="A31" s="82" t="str">
        <x:v>KS-015</x:v>
      </x:c>
      <x:c r="B31" s="81" t="str">
        <x:v>Knowledge Substrate</x:v>
      </x:c>
      <x:c r="C31" s="81" t="str">
        <x:v>Lineage</x:v>
      </x:c>
      <x:c r="D31" s="81" t="str">
        <x:v>Semantic Thread Tracer</x:v>
      </x:c>
      <x:c r="E31" s="81" t="str">
        <x:v>projection</x:v>
      </x:c>
      <x:c r="F31" s="81" t="str">
        <x:v>superseded</x:v>
      </x:c>
      <x:c r="G31" s="81" t="str">
        <x:v>bounded evidence</x:v>
      </x:c>
      <x:c r="H31" s="81" t="str">
        <x:v>confirmed project</x:v>
      </x:c>
      <x:c r="I31" s="81" t="str">
        <x:v>P2</x:v>
      </x:c>
      <x:c r="J31" s="81" t="str">
        <x:v>hold</x:v>
      </x:c>
      <x:c r="K31" s="81" t="str">
        <x:v>dashboard</x:v>
      </x:c>
      <x:c r="L31" s="81" t="str">
        <x:v>Trace source lineage and semantic mutation across time.</x:v>
      </x:c>
      <x:c r="M31" s="81" t="str">
        <x:v>APP_ATLAS_V1.md</x:v>
      </x:c>
      <x:c r="N31" s="81" t="str">
        <x:v>Time-Distortion Memory Scroll; DataDisc</x:v>
      </x:c>
      <x:c r="O31" s="81" t="str">
        <x:v>APP-001; APP-002</x:v>
      </x:c>
      <x:c r="P31" s="81" t="str">
        <x:v>Standalone scope superseded by Atlas projection.</x:v>
      </x:c>
      <x:c r="Q31" s="81" t="str">
        <x:v>Implement one trace view inside the Atlas rather than separate product.</x:v>
      </x:c>
      <x:c r="R31" s="81" t="str">
        <x:v>Independent build duplicates canonical event records.</x:v>
      </x:c>
      <x:c r="S31" s="81" t="str">
        <x:v>Preserve uncertainty and source return.</x:v>
      </x:c>
    </x:row>
    <x:row r="32" ht="54" customHeight="1">
      <x:c r="A32" s="82" t="str">
        <x:v>KS-016</x:v>
      </x:c>
      <x:c r="B32" s="81" t="str">
        <x:v>Knowledge Substrate</x:v>
      </x:c>
      <x:c r="C32" s="81" t="str">
        <x:v>Decision lineage</x:v>
      </x:c>
      <x:c r="D32" s="81" t="str">
        <x:v>Delta / Decision Ledger</x:v>
      </x:c>
      <x:c r="E32" s="81" t="str">
        <x:v>projection</x:v>
      </x:c>
      <x:c r="F32" s="81" t="str">
        <x:v>superseded</x:v>
      </x:c>
      <x:c r="G32" s="81" t="str">
        <x:v>established</x:v>
      </x:c>
      <x:c r="H32" s="81" t="str">
        <x:v>confirmed project</x:v>
      </x:c>
      <x:c r="I32" s="81" t="str">
        <x:v>P2</x:v>
      </x:c>
      <x:c r="J32" s="81" t="str">
        <x:v>hold</x:v>
      </x:c>
      <x:c r="K32" s="81" t="str">
        <x:v>registry</x:v>
      </x:c>
      <x:c r="L32" s="81" t="str">
        <x:v>Expose decision deltas and supersession records.</x:v>
      </x:c>
      <x:c r="M32" s="81" t="str">
        <x:v>APP_ATLAS_V1.md</x:v>
      </x:c>
      <x:c r="N32" s="81" t="str">
        <x:v>Context events; supersession records</x:v>
      </x:c>
      <x:c r="O32" s="81" t="str">
        <x:v>APP-001; KS-012</x:v>
      </x:c>
      <x:c r="P32" s="81" t="str">
        <x:v>Standalone journal intentionally rejected.</x:v>
      </x:c>
      <x:c r="Q32" s="81" t="str">
        <x:v>Add one delta query to the Atlas event model.</x:v>
      </x:c>
      <x:c r="R32" s="81" t="str">
        <x:v>Requires duplicate manual journal.</x:v>
      </x:c>
      <x:c r="S32" s="81" t="str">
        <x:v>No retroactive rationale invention.</x:v>
      </x:c>
    </x:row>
    <x:row r="33" ht="54" customHeight="1">
      <x:c r="A33" s="82" t="str">
        <x:v>APP-010</x:v>
      </x:c>
      <x:c r="B33" s="81" t="str">
        <x:v>Knowledge Substrate</x:v>
      </x:c>
      <x:c r="C33" s="81" t="str">
        <x:v>Prompt systems</x:v>
      </x:c>
      <x:c r="D33" s="81" t="str">
        <x:v>PSS Runtime</x:v>
      </x:c>
      <x:c r="E33" s="81" t="str">
        <x:v>app/runtime</x:v>
      </x:c>
      <x:c r="F33" s="81" t="str">
        <x:v>triaged</x:v>
      </x:c>
      <x:c r="G33" s="81" t="str">
        <x:v>testable hypothesis</x:v>
      </x:c>
      <x:c r="H33" s="81" t="str">
        <x:v>confirmed artifact</x:v>
      </x:c>
      <x:c r="I33" s="81" t="str">
        <x:v>P2</x:v>
      </x:c>
      <x:c r="J33" s="81" t="str">
        <x:v>later</x:v>
      </x:c>
      <x:c r="K33" s="81" t="str">
        <x:v>code artifact</x:v>
      </x:c>
      <x:c r="L33" s="81" t="str">
        <x:v>Execute multi-pass prompt/program scaffolds with visible state and failure handling.</x:v>
      </x:c>
      <x:c r="M33" s="81" t="str">
        <x:v>APP_ATLAS_V1.md; app_atlas_v1.json</x:v>
      </x:c>
      <x:c r="N33" s="81" t="str">
        <x:v>PSS; meta-prompt work</x:v>
      </x:c>
      <x:c r="O33" s="81" t="str">
        <x:v>Sovereign Node; KS-002</x:v>
      </x:c>
      <x:c r="P33" s="81" t="str">
        <x:v>Runtime contract and fixtures unresolved.</x:v>
      </x:c>
      <x:c r="Q33" s="81" t="str">
        <x:v>Run one three-pass task with explicit state, validation and failure output.</x:v>
      </x:c>
      <x:c r="R33" s="81" t="str">
        <x:v>Hidden state prevents audit or recovery.</x:v>
      </x:c>
      <x:c r="S33" s="81" t="str">
        <x:v>No external actions without explicit authority.</x:v>
      </x:c>
    </x:row>
    <x:row r="34" ht="54" customHeight="1">
      <x:c r="A34" s="82" t="str">
        <x:v>KS-018</x:v>
      </x:c>
      <x:c r="B34" s="81" t="str">
        <x:v>Knowledge Substrate</x:v>
      </x:c>
      <x:c r="C34" s="81" t="str">
        <x:v>Prompt systems</x:v>
      </x:c>
      <x:c r="D34" s="81" t="str">
        <x:v>Meta-Prompt Compiler</x:v>
      </x:c>
      <x:c r="E34" s="81" t="str">
        <x:v>authoring mode</x:v>
      </x:c>
      <x:c r="F34" s="81" t="str">
        <x:v>superseded</x:v>
      </x:c>
      <x:c r="G34" s="81" t="str">
        <x:v>testable hypothesis</x:v>
      </x:c>
      <x:c r="H34" s="81" t="str">
        <x:v>confirmed project</x:v>
      </x:c>
      <x:c r="I34" s="81" t="str">
        <x:v>P3</x:v>
      </x:c>
      <x:c r="J34" s="81" t="str">
        <x:v>hold</x:v>
      </x:c>
      <x:c r="K34" s="81" t="str">
        <x:v>prompt pack</x:v>
      </x:c>
      <x:c r="L34" s="81" t="str">
        <x:v>Compile recovered prompt structures into PSS programs.</x:v>
      </x:c>
      <x:c r="M34" s="81" t="str">
        <x:v>APP_ATLAS_V1.md</x:v>
      </x:c>
      <x:c r="N34" s="81" t="str">
        <x:v>PSS Runtime; prompt recovery</x:v>
      </x:c>
      <x:c r="O34" s="81" t="str">
        <x:v>APP-010</x:v>
      </x:c>
      <x:c r="P34" s="81" t="str">
        <x:v>Standalone product intentionally merged.</x:v>
      </x:c>
      <x:c r="Q34" s="81" t="str">
        <x:v>Represent one recovered meta-prompt as a PSS authoring fixture.</x:v>
      </x:c>
      <x:c r="R34" s="81" t="str">
        <x:v>Adds no structure beyond ordinary prompt text.</x:v>
      </x:c>
      <x:c r="S34" s="81" t="str">
        <x:v>Preserve source wording and attribution.</x:v>
      </x:c>
    </x:row>
    <x:row r="35" ht="54" customHeight="1">
      <x:c r="A35" s="82" t="str">
        <x:v>KS-019</x:v>
      </x:c>
      <x:c r="B35" s="81" t="str">
        <x:v>Knowledge Substrate</x:v>
      </x:c>
      <x:c r="C35" s="81" t="str">
        <x:v>Lineage/Civilization Research</x:v>
      </x:c>
      <x:c r="D35" s="81" t="str">
        <x:v>Portable Source Packs</x:v>
      </x:c>
      <x:c r="E35" s="81" t="str">
        <x:v>source package</x:v>
      </x:c>
      <x:c r="F35" s="81" t="str">
        <x:v>captured</x:v>
      </x:c>
      <x:c r="G35" s="81" t="str">
        <x:v>testable hypothesis</x:v>
      </x:c>
      <x:c r="H35" s="81" t="str">
        <x:v>proposal only</x:v>
      </x:c>
      <x:c r="I35" s="81" t="str">
        <x:v>P2</x:v>
      </x:c>
      <x:c r="J35" s="81" t="str">
        <x:v>later</x:v>
      </x:c>
      <x:c r="K35" s="81" t="str">
        <x:v>dossier</x:v>
      </x:c>
      <x:c r="L35" s="81" t="str">
        <x:v>Carry bounded source context between tools without replaying whole archives.</x:v>
      </x:c>
      <x:c r="M35" s="81" t="str"/>
      <x:c r="N35" s="81" t="str">
        <x:v>prior reconstruction; C01</x:v>
      </x:c>
      <x:c r="O35" s="81" t="str">
        <x:v>KS-003; KS-002</x:v>
      </x:c>
      <x:c r="P35" s="81" t="str">
        <x:v>Template and package boundaries unconfirmed.</x:v>
      </x:c>
      <x:c r="Q35" s="81" t="str">
        <x:v>Build one pack for SINDERESIS with sources, status, terms, gaps and next test.</x:v>
      </x:c>
      <x:c r="R35" s="81" t="str">
        <x:v>Pack cannot be updated without manual duplication.</x:v>
      </x:c>
      <x:c r="S35" s="81" t="str">
        <x:v>No sensitive data by default.</x:v>
      </x:c>
    </x:row>
    <x:row r="36" ht="54" customHeight="1">
      <x:c r="A36" s="82" t="str">
        <x:v>KS-020</x:v>
      </x:c>
      <x:c r="B36" s="81" t="str">
        <x:v>Knowledge Substrate</x:v>
      </x:c>
      <x:c r="C36" s="81" t="str">
        <x:v>Lineage/Civilization Research</x:v>
      </x:c>
      <x:c r="D36" s="81" t="str">
        <x:v>Bureau of Simulacra</x:v>
      </x:c>
      <x:c r="E36" s="81" t="str">
        <x:v>governance/research system</x:v>
      </x:c>
      <x:c r="F36" s="81" t="str">
        <x:v>captured</x:v>
      </x:c>
      <x:c r="G36" s="81" t="str">
        <x:v>metaphor</x:v>
      </x:c>
      <x:c r="H36" s="81" t="str">
        <x:v>confirmed project</x:v>
      </x:c>
      <x:c r="I36" s="81" t="str">
        <x:v>P3</x:v>
      </x:c>
      <x:c r="J36" s="81" t="str">
        <x:v>later</x:v>
      </x:c>
      <x:c r="K36" s="81" t="str">
        <x:v>dossier</x:v>
      </x:c>
      <x:c r="L36" s="81" t="str">
        <x:v>Classify representations, copies, masks and transferred claims without confusing them with sources.</x:v>
      </x:c>
      <x:c r="M36" s="81" t="str"/>
      <x:c r="N36" s="81" t="str">
        <x:v>BLIGHT recovery branch</x:v>
      </x:c>
      <x:c r="O36" s="81" t="str">
        <x:v>KS-002; APP-003</x:v>
      </x:c>
      <x:c r="P36" s="81" t="str">
        <x:v>Purpose and operating forms not canonized.</x:v>
      </x:c>
      <x:c r="Q36" s="81" t="str">
        <x:v>Recover earliest definition and one form before extension.</x:v>
      </x:c>
      <x:c r="R36" s="81" t="str">
        <x:v>Only later aesthetic lore can be found.</x:v>
      </x:c>
      <x:c r="S36" s="81" t="str">
        <x:v>Do not promote metaphor into factual classification.</x:v>
      </x:c>
    </x:row>
    <x:row r="37" ht="54" customHeight="1">
      <x:c r="A37" s="82" t="str">
        <x:v>KS-021</x:v>
      </x:c>
      <x:c r="B37" s="81" t="str">
        <x:v>Knowledge Substrate</x:v>
      </x:c>
      <x:c r="C37" s="81" t="str">
        <x:v>Risk research</x:v>
      </x:c>
      <x:c r="D37" s="81" t="str">
        <x:v>Toilet / Bathroom Fatality Threat Reconstruction</x:v>
      </x:c>
      <x:c r="E37" s="81" t="str">
        <x:v>research program</x:v>
      </x:c>
      <x:c r="F37" s="81" t="str">
        <x:v>active</x:v>
      </x:c>
      <x:c r="G37" s="81" t="str">
        <x:v>bounded evidence</x:v>
      </x:c>
      <x:c r="H37" s="81" t="str">
        <x:v>confirmed project</x:v>
      </x:c>
      <x:c r="I37" s="81" t="str">
        <x:v>P1</x:v>
      </x:c>
      <x:c r="J37" s="81" t="str">
        <x:v>next</x:v>
      </x:c>
      <x:c r="K37" s="81" t="str">
        <x:v>dossier</x:v>
      </x:c>
      <x:c r="L37" s="81" t="str">
        <x:v>Repair denominators and map hidden sanitation-space risks to cheap interventions.</x:v>
      </x:c>
      <x:c r="M37" s="81" t="str"/>
      <x:c r="N37" s="81" t="str">
        <x:v>epidemiology prompt; corrected 11% error</x:v>
      </x:c>
      <x:c r="O37" s="81" t="str">
        <x:v>KS-002</x:v>
      </x:c>
      <x:c r="P37" s="81" t="str">
        <x:v>Full source table and denominator audit incomplete.</x:v>
      </x:c>
      <x:c r="Q37" s="81" t="str">
        <x:v>Build one claim row with value, numerator, denominator, population, setting, geography, period, method and source.</x:v>
      </x:c>
      <x:c r="R37" s="81" t="str">
        <x:v>A statistic lacks required fields or transfers across incompatible settings.</x:v>
      </x:c>
      <x:c r="S37" s="81" t="str">
        <x:v>Informational, non-graphic, and not medical diagnosis.</x:v>
      </x:c>
    </x:row>
    <x:row r="38" ht="54" customHeight="1">
      <x:c r="A38" s="82" t="str">
        <x:v>KS-022</x:v>
      </x:c>
      <x:c r="B38" s="81" t="str">
        <x:v>Knowledge Substrate</x:v>
      </x:c>
      <x:c r="C38" s="81" t="str">
        <x:v>Sustainability</x:v>
      </x:c>
      <x:c r="D38" s="81" t="str">
        <x:v>Sustainability as Homeodynamic Capacity</x:v>
      </x:c>
      <x:c r="E38" s="81" t="str">
        <x:v>research/design thesis</x:v>
      </x:c>
      <x:c r="F38" s="81" t="str">
        <x:v>active</x:v>
      </x:c>
      <x:c r="G38" s="81" t="str">
        <x:v>testable hypothesis</x:v>
      </x:c>
      <x:c r="H38" s="81" t="str">
        <x:v>confirmed artifact</x:v>
      </x:c>
      <x:c r="I38" s="81" t="str">
        <x:v>P1</x:v>
      </x:c>
      <x:c r="J38" s="81" t="str">
        <x:v>next</x:v>
      </x:c>
      <x:c r="K38" s="81" t="str">
        <x:v>dossier</x:v>
      </x:c>
      <x:c r="L38" s="81" t="str">
        <x:v>Define sustainability as rates, ranges, recovery and adaptive capacity rather than static state.</x:v>
      </x:c>
      <x:c r="M38" s="81" t="str">
        <x:v>SA-Sustainability-Biomimesis-Working-Brief.md</x:v>
      </x:c>
      <x:c r="N38" s="81" t="str">
        <x:v>SA source Google Doc; CONST-001</x:v>
      </x:c>
      <x:c r="O38" s="81" t="str">
        <x:v>House OS; sensors; cassettes</x:v>
      </x:c>
      <x:c r="P38" s="81" t="str">
        <x:v>Current evidence and original citations remain dated.</x:v>
      </x:c>
      <x:c r="Q38" s="81" t="str">
        <x:v>Select one measurable adaptation-capacity indicator for a room prototype.</x:v>
      </x:c>
      <x:c r="R38" s="81" t="str">
        <x:v>Indicator does not change design or recovery decisions.</x:v>
      </x:c>
      <x:c r="S38" s="81" t="str">
        <x:v>Biological analogies remain hypotheses until tested.</x:v>
      </x:c>
    </x:row>
    <x:row r="39" ht="54" customHeight="1">
      <x:c r="A39" s="82" t="str">
        <x:v>KS-023</x:v>
      </x:c>
      <x:c r="B39" s="81" t="str">
        <x:v>Knowledge Substrate</x:v>
      </x:c>
      <x:c r="C39" s="81" t="str">
        <x:v>Lineage/Civilization Research</x:v>
      </x:c>
      <x:c r="D39" s="81" t="str">
        <x:v>Non-destructive Dedup Manifest</x:v>
      </x:c>
      <x:c r="E39" s="81" t="str">
        <x:v>registry</x:v>
      </x:c>
      <x:c r="F39" s="81" t="str">
        <x:v>staged</x:v>
      </x:c>
      <x:c r="G39" s="81" t="str">
        <x:v>established</x:v>
      </x:c>
      <x:c r="H39" s="81" t="str">
        <x:v>confirmed project</x:v>
      </x:c>
      <x:c r="I39" s="81" t="str">
        <x:v>P0</x:v>
      </x:c>
      <x:c r="J39" s="81" t="str">
        <x:v>next</x:v>
      </x:c>
      <x:c r="K39" s="81" t="str">
        <x:v>registry</x:v>
      </x:c>
      <x:c r="L39" s="81" t="str">
        <x:v>Inventory file families by metadata/hash while preserving meaningful variants.</x:v>
      </x:c>
      <x:c r="M39" s="81" t="str"/>
      <x:c r="N39" s="81" t="str">
        <x:v>code archaeology next pass</x:v>
      </x:c>
      <x:c r="O39" s="81" t="str">
        <x:v>KS-004</x:v>
      </x:c>
      <x:c r="P39" s="81" t="str">
        <x:v>No scan output yet.</x:v>
      </x:c>
      <x:c r="Q39" s="81" t="str">
        <x:v>Generate metadata/hash rows for one bounded folder family.</x:v>
      </x:c>
      <x:c r="R39" s="81" t="str">
        <x:v>Different files collide or identical hashes conceal context variants.</x:v>
      </x:c>
      <x:c r="S39" s="81" t="str">
        <x:v>Read-only scan; no deletion.</x:v>
      </x:c>
    </x:row>
    <x:row r="40" ht="54" customHeight="1">
      <x:c r="A40" s="82" t="str">
        <x:v>KS-024</x:v>
      </x:c>
      <x:c r="B40" s="81" t="str">
        <x:v>Knowledge Substrate</x:v>
      </x:c>
      <x:c r="C40" s="81" t="str">
        <x:v>Research intake</x:v>
      </x:c>
      <x:c r="D40" s="81" t="str">
        <x:v>Reading Lists / Information Hazard / Hyperstition Research</x:v>
      </x:c>
      <x:c r="E40" s="81" t="str">
        <x:v>research queue</x:v>
      </x:c>
      <x:c r="F40" s="81" t="str">
        <x:v>captured</x:v>
      </x:c>
      <x:c r="G40" s="81" t="str">
        <x:v>unknown</x:v>
      </x:c>
      <x:c r="H40" s="81" t="str">
        <x:v>confirmed project</x:v>
      </x:c>
      <x:c r="I40" s="81" t="str">
        <x:v>P2</x:v>
      </x:c>
      <x:c r="J40" s="81" t="str">
        <x:v>later</x:v>
      </x:c>
      <x:c r="K40" s="81" t="str">
        <x:v>dossier</x:v>
      </x:c>
      <x:c r="L40" s="81" t="str">
        <x:v>Recover useful adjacent knowledge without importing unsafe or unsupported mechanisms.</x:v>
      </x:c>
      <x:c r="M40" s="81" t="str"/>
      <x:c r="N40" s="81" t="str">
        <x:v>SINDERESIS continuation request</x:v>
      </x:c>
      <x:c r="O40" s="81" t="str">
        <x:v>KS-001; KS-002</x:v>
      </x:c>
      <x:c r="P40" s="81" t="str">
        <x:v>Scope, source list and hazard boundary unresolved.</x:v>
      </x:c>
      <x:c r="Q40" s="81" t="str">
        <x:v>Create a typed reading queue with reason, expected use and evidence class.</x:v>
      </x:c>
      <x:c r="R40" s="81" t="str">
        <x:v>Reading accumulates without artifact or decision.</x:v>
      </x:c>
      <x:c r="S40" s="81" t="str">
        <x:v>No operationalization of harmful information.</x:v>
      </x:c>
    </x:row>
    <x:row r="41" ht="54" customHeight="1">
      <x:c r="A41" s="82" t="str">
        <x:v>APP-031</x:v>
      </x:c>
      <x:c r="B41" s="81" t="str">
        <x:v>Symbolic Language</x:v>
      </x:c>
      <x:c r="C41" s="81" t="str">
        <x:v>Glyph systems</x:v>
      </x:c>
      <x:c r="D41" s="81" t="str">
        <x:v>Glyph Grammar / Seal Composer</x:v>
      </x:c>
      <x:c r="E41" s="81" t="str">
        <x:v>app/system</x:v>
      </x:c>
      <x:c r="F41" s="81" t="str">
        <x:v>triaged</x:v>
      </x:c>
      <x:c r="G41" s="81" t="str">
        <x:v>testable hypothesis</x:v>
      </x:c>
      <x:c r="H41" s="81" t="str">
        <x:v>confirmed artifact</x:v>
      </x:c>
      <x:c r="I41" s="81" t="str">
        <x:v>P1</x:v>
      </x:c>
      <x:c r="J41" s="81" t="str">
        <x:v>next</x:v>
      </x:c>
      <x:c r="K41" s="81" t="str">
        <x:v>app</x:v>
      </x:c>
      <x:c r="L41" s="81" t="str">
        <x:v>Preserve semantic identity through controlled transforms from primitive to fabrication.</x:v>
      </x:c>
      <x:c r="M41" s="81" t="str">
        <x:v>APP_ATLAS_V1.md; app_atlas_v1.json</x:v>
      </x:c>
      <x:c r="N41" s="81" t="str">
        <x:v>ATYY-mon grammar; seal work</x:v>
      </x:c>
      <x:c r="O41" s="81" t="str">
        <x:v>SL-002; SL-003; APP-062</x:v>
      </x:c>
      <x:c r="P41" s="81" t="str">
        <x:v>Canonical primitives, invariants and export tests unresolved.</x:v>
      </x:c>
      <x:c r="Q41" s="81" t="str">
        <x:v>Encode one family with shared primitives, controlled axes and fabrication limits.</x:v>
      </x:c>
      <x:c r="R41" s="81" t="str">
        <x:v>Variants lose family resemblance or meaning cannot be retrieved.</x:v>
      </x:c>
      <x:c r="S41" s="81" t="str">
        <x:v>Low-risk fabrication methods only.</x:v>
      </x:c>
    </x:row>
    <x:row r="42" ht="54" customHeight="1">
      <x:c r="A42" s="82" t="str">
        <x:v>SL-002</x:v>
      </x:c>
      <x:c r="B42" s="81" t="str">
        <x:v>Symbolic Language</x:v>
      </x:c>
      <x:c r="C42" s="81" t="str">
        <x:v>Glyph systems</x:v>
      </x:c>
      <x:c r="D42" s="81" t="str">
        <x:v>ATYY Mon Grammar</x:v>
      </x:c>
      <x:c r="E42" s="81" t="str">
        <x:v>design grammar</x:v>
      </x:c>
      <x:c r="F42" s="81" t="str">
        <x:v>triaged</x:v>
      </x:c>
      <x:c r="G42" s="81" t="str">
        <x:v>bounded evidence</x:v>
      </x:c>
      <x:c r="H42" s="81" t="str">
        <x:v>confirmed project</x:v>
      </x:c>
      <x:c r="I42" s="81" t="str">
        <x:v>P1</x:v>
      </x:c>
      <x:c r="J42" s="81" t="str">
        <x:v>next</x:v>
      </x:c>
      <x:c r="K42" s="81" t="str">
        <x:v>canon page</x:v>
      </x:c>
      <x:c r="L42" s="81" t="str">
        <x:v>Derive systematic visual families from shared primitives, topology and proportions.</x:v>
      </x:c>
      <x:c r="M42" s="81" t="str"/>
      <x:c r="N42" s="81" t="str">
        <x:v>atoms → glyphs → compositions → systems</x:v>
      </x:c>
      <x:c r="O42" s="81" t="str">
        <x:v>APP-031</x:v>
      </x:c>
      <x:c r="P42" s="81" t="str">
        <x:v>Latest grammar not consolidated into one source.</x:v>
      </x:c>
      <x:c r="Q42" s="81" t="str">
        <x:v>Write one-page invariants and generate four traceable variants.</x:v>
      </x:c>
      <x:c r="R42" s="81" t="str">
        <x:v>Variation relies on model style rather than explicit transforms.</x:v>
      </x:c>
      <x:c r="S42" s="81" t="str">
        <x:v>Manufacturability checked before production.</x:v>
      </x:c>
    </x:row>
    <x:row r="43" ht="54" customHeight="1">
      <x:c r="A43" s="82" t="str">
        <x:v>SL-003</x:v>
      </x:c>
      <x:c r="B43" s="81" t="str">
        <x:v>Symbolic Language</x:v>
      </x:c>
      <x:c r="C43" s="81" t="str">
        <x:v>Seal systems</x:v>
      </x:c>
      <x:c r="D43" s="81" t="str">
        <x:v>Zhou Family Seal System</x:v>
      </x:c>
      <x:c r="E43" s="81" t="str">
        <x:v>design family</x:v>
      </x:c>
      <x:c r="F43" s="81" t="str">
        <x:v>active</x:v>
      </x:c>
      <x:c r="G43" s="81" t="str">
        <x:v>testable hypothesis</x:v>
      </x:c>
      <x:c r="H43" s="81" t="str">
        <x:v>confirmed project</x:v>
      </x:c>
      <x:c r="I43" s="81" t="str">
        <x:v>P1</x:v>
      </x:c>
      <x:c r="J43" s="81" t="str">
        <x:v>next</x:v>
      </x:c>
      <x:c r="K43" s="81" t="str">
        <x:v>visual artifact</x:v>
      </x:c>
      <x:c r="L43" s="81" t="str">
        <x:v>Create related personalized seals with controlled identity and fabrication paths.</x:v>
      </x:c>
      <x:c r="M43" s="81" t="str"/>
      <x:c r="N43" s="81" t="str">
        <x:v>宇晏; 宇星; four additional single-character names</x:v>
      </x:c>
      <x:c r="O43" s="81" t="str">
        <x:v>SL-002; APP-031</x:v>
      </x:c>
      <x:c r="P43" s="81" t="str">
        <x:v>Complete name set and chosen dimensions unresolved.</x:v>
      </x:c>
      <x:c r="Q43" s="81" t="str">
        <x:v>Resolve names and produce one shared annulus/topology specification.</x:v>
      </x:c>
      <x:c r="R43" s="81" t="str">
        <x:v>Personalization destroys family invariants or cannot be carved safely.</x:v>
      </x:c>
      <x:c r="S43" s="81" t="str">
        <x:v>Use safe hand-tool/fabrication practices with supervision where appropriate.</x:v>
      </x:c>
    </x:row>
    <x:row r="44" ht="54" customHeight="1">
      <x:c r="A44" s="82" t="str">
        <x:v>APP-001</x:v>
      </x:c>
      <x:c r="B44" s="81" t="str">
        <x:v>Symbolic Language</x:v>
      </x:c>
      <x:c r="C44" s="81" t="str">
        <x:v>Context representation</x:v>
      </x:c>
      <x:c r="D44" s="81" t="str">
        <x:v>DataDisc / Context Graph</x:v>
      </x:c>
      <x:c r="E44" s="81" t="str">
        <x:v>app/system</x:v>
      </x:c>
      <x:c r="F44" s="81" t="str">
        <x:v>triaged</x:v>
      </x:c>
      <x:c r="G44" s="81" t="str">
        <x:v>testable hypothesis</x:v>
      </x:c>
      <x:c r="H44" s="81" t="str">
        <x:v>confirmed artifact</x:v>
      </x:c>
      <x:c r="I44" s="81" t="str">
        <x:v>P0</x:v>
      </x:c>
      <x:c r="J44" s="81" t="str">
        <x:v>next</x:v>
      </x:c>
      <x:c r="K44" s="81" t="str">
        <x:v>app</x:v>
      </x:c>
      <x:c r="L44" s="81" t="str">
        <x:v>Keep raw artifacts in place while inspectable context records generate alternate views.</x:v>
      </x:c>
      <x:c r="M44" s="81" t="str">
        <x:v>APP_ATLAS_V1.md; app_atlas_v1.json</x:v>
      </x:c>
      <x:c r="N44" s="81" t="str">
        <x:v>DataDisc; spiral; context graph</x:v>
      </x:c>
      <x:c r="O44" s="81" t="str">
        <x:v>KS-003; SL-005</x:v>
      </x:c>
      <x:c r="P44" s="81" t="str">
        <x:v>Canonical event/context schema and interpreter fixture missing.</x:v>
      </x:c>
      <x:c r="Q44" s="81" t="str">
        <x:v>Rebuild one legacy DataDisc example purely as an interpreter.</x:v>
      </x:c>
      <x:c r="R44" s="81" t="str">
        <x:v>Requires hidden manual lore or severs raw artifact links.</x:v>
      </x:c>
      <x:c r="S44" s="81" t="str">
        <x:v>No mutation of source artifacts.</x:v>
      </x:c>
    </x:row>
    <x:row r="45" ht="54" customHeight="1">
      <x:c r="A45" s="82" t="str">
        <x:v>SL-005</x:v>
      </x:c>
      <x:c r="B45" s="81" t="str">
        <x:v>Symbolic Language</x:v>
      </x:c>
      <x:c r="C45" s="81" t="str">
        <x:v>Navigation</x:v>
      </x:c>
      <x:c r="D45" s="81" t="str">
        <x:v>Spiral Interface</x:v>
      </x:c>
      <x:c r="E45" s="81" t="str">
        <x:v>interaction grammar</x:v>
      </x:c>
      <x:c r="F45" s="81" t="str">
        <x:v>captured</x:v>
      </x:c>
      <x:c r="G45" s="81" t="str">
        <x:v>testable hypothesis</x:v>
      </x:c>
      <x:c r="H45" s="81" t="str">
        <x:v>confirmed project</x:v>
      </x:c>
      <x:c r="I45" s="81" t="str">
        <x:v>P1</x:v>
      </x:c>
      <x:c r="J45" s="81" t="str">
        <x:v>next</x:v>
      </x:c>
      <x:c r="K45" s="81" t="str">
        <x:v>code artifact</x:v>
      </x:c>
      <x:c r="L45" s="81" t="str">
        <x:v>Use spiral in/out as explicit traversal, scope or abstraction control.</x:v>
      </x:c>
      <x:c r="M45" s="81" t="str"/>
      <x:c r="N45" s="81" t="str">
        <x:v>SINDERESIS; DataDisc</x:v>
      </x:c>
      <x:c r="O45" s="81" t="str">
        <x:v>APP-001; KS-001</x:v>
      </x:c>
      <x:c r="P45" s="81" t="str">
        <x:v>Operation remains ambiguous between traversal, scope and transformation.</x:v>
      </x:c>
      <x:c r="Q45" s="81" t="str">
        <x:v>Choose one meaning and implement a reversible fixture.</x:v>
      </x:c>
      <x:c r="R45" s="81" t="str">
        <x:v>Same gesture cannot be interpreted consistently.</x:v>
      </x:c>
      <x:c r="S45" s="81" t="str">
        <x:v>Avoid decorative continuity claims.</x:v>
      </x:c>
    </x:row>
    <x:row r="46" ht="54" customHeight="1">
      <x:c r="A46" s="82" t="str">
        <x:v>APP-032</x:v>
      </x:c>
      <x:c r="B46" s="81" t="str">
        <x:v>Symbolic Language</x:v>
      </x:c>
      <x:c r="C46" s="81" t="str">
        <x:v>Radial systems</x:v>
      </x:c>
      <x:c r="D46" s="81" t="str">
        <x:v>Folding Fan / Radial Interface</x:v>
      </x:c>
      <x:c r="E46" s="81" t="str">
        <x:v>app/interface</x:v>
      </x:c>
      <x:c r="F46" s="81" t="str">
        <x:v>triaged</x:v>
      </x:c>
      <x:c r="G46" s="81" t="str">
        <x:v>testable hypothesis</x:v>
      </x:c>
      <x:c r="H46" s="81" t="str">
        <x:v>confirmed artifact</x:v>
      </x:c>
      <x:c r="I46" s="81" t="str">
        <x:v>P1</x:v>
      </x:c>
      <x:c r="J46" s="81" t="str">
        <x:v>next</x:v>
      </x:c>
      <x:c r="K46" s="81" t="str">
        <x:v>app</x:v>
      </x:c>
      <x:c r="L46" s="81" t="str">
        <x:v>Make fold and radial position perform meaningful address transformations.</x:v>
      </x:c>
      <x:c r="M46" s="81" t="str">
        <x:v>APP_ATLAS_V1.md; app_atlas_v1.json</x:v>
      </x:c>
      <x:c r="N46" s="81" t="str">
        <x:v>fan partition; radial interface</x:v>
      </x:c>
      <x:c r="O46" s="81" t="str">
        <x:v>SL-007; MP-011</x:v>
      </x:c>
      <x:c r="P46" s="81" t="str">
        <x:v>Address grammar and physical/digital correspondence untested.</x:v>
      </x:c>
      <x:c r="Q46" s="81" t="str">
        <x:v>Map eight panels to eight explicit states and test folded adjacency.</x:v>
      </x:c>
      <x:c r="R46" s="81" t="str">
        <x:v>Fan remains decorative or state cannot survive folding.</x:v>
      </x:c>
      <x:c r="S46" s="81" t="str">
        <x:v>Low-risk paper/card prototype first.</x:v>
      </x:c>
    </x:row>
    <x:row r="47" ht="54" customHeight="1">
      <x:c r="A47" s="82" t="str">
        <x:v>SL-007</x:v>
      </x:c>
      <x:c r="B47" s="81" t="str">
        <x:v>Symbolic Language</x:v>
      </x:c>
      <x:c r="C47" s="81" t="str">
        <x:v>Radial systems</x:v>
      </x:c>
      <x:c r="D47" s="81" t="str">
        <x:v>Fanfold</x:v>
      </x:c>
      <x:c r="E47" s="81" t="str">
        <x:v>creative prototype</x:v>
      </x:c>
      <x:c r="F47" s="81" t="str">
        <x:v>captured</x:v>
      </x:c>
      <x:c r="G47" s="81" t="str">
        <x:v>testable hypothesis</x:v>
      </x:c>
      <x:c r="H47" s="81" t="str">
        <x:v>confirmed project</x:v>
      </x:c>
      <x:c r="I47" s="81" t="str">
        <x:v>P2</x:v>
      </x:c>
      <x:c r="J47" s="81" t="str">
        <x:v>later</x:v>
      </x:c>
      <x:c r="K47" s="81" t="str">
        <x:v>visual artifact</x:v>
      </x:c>
      <x:c r="L47" s="81" t="str">
        <x:v>Make folded adjacency change narrative or composition.</x:v>
      </x:c>
      <x:c r="M47" s="81" t="str">
        <x:v>APP_ATLAS_V1.md</x:v>
      </x:c>
      <x:c r="N47" s="81" t="str">
        <x:v>App Atlas incubate list</x:v>
      </x:c>
      <x:c r="O47" s="81" t="str">
        <x:v>APP-032</x:v>
      </x:c>
      <x:c r="P47" s="81" t="str">
        <x:v>No eight-panel fixture.</x:v>
      </x:c>
      <x:c r="Q47" s="81" t="str">
        <x:v>Produce one paper eight-panel artwork with declared adjacency rule.</x:v>
      </x:c>
      <x:c r="R47" s="81" t="str">
        <x:v>Fold state does not change reading or retrieval.</x:v>
      </x:c>
      <x:c r="S47" s="81" t="str">
        <x:v>Use safe materials and tools.</x:v>
      </x:c>
    </x:row>
    <x:row r="48" ht="54" customHeight="1">
      <x:c r="A48" s="82" t="str">
        <x:v>C10</x:v>
      </x:c>
      <x:c r="B48" s="81" t="str">
        <x:v>Symbolic Language</x:v>
      </x:c>
      <x:c r="C48" s="81" t="str">
        <x:v>Spatial grammar</x:v>
      </x:c>
      <x:c r="D48" s="81" t="str">
        <x:v>Labyrinth Route Tile</x:v>
      </x:c>
      <x:c r="E48" s="81" t="str">
        <x:v>cassette/module</x:v>
      </x:c>
      <x:c r="F48" s="81" t="str">
        <x:v>staged</x:v>
      </x:c>
      <x:c r="G48" s="81" t="str">
        <x:v>testable hypothesis</x:v>
      </x:c>
      <x:c r="H48" s="81" t="str">
        <x:v>confirmed artifact</x:v>
      </x:c>
      <x:c r="I48" s="81" t="str">
        <x:v>P0</x:v>
      </x:c>
      <x:c r="J48" s="81" t="str">
        <x:v>next</x:v>
      </x:c>
      <x:c r="K48" s="81" t="str">
        <x:v>physical cassette</x:v>
      </x:c>
      <x:c r="L48" s="81" t="str">
        <x:v>Expose typed paths for structure, data, airflow, sensing, power and semantics.</x:v>
      </x:c>
      <x:c r="M48" s="81" t="str">
        <x:v>CASSETTE_ATLAS_v0.1.md; cassette_atlas.csv</x:v>
      </x:c>
      <x:c r="N48" s="81" t="str">
        <x:v>Cassette Atlas</x:v>
      </x:c>
      <x:c r="O48" s="81" t="str">
        <x:v>APP-041; WD-020</x:v>
      </x:c>
      <x:c r="P48" s="81" t="str">
        <x:v>One room route and port legend not drawn.</x:v>
      </x:c>
      <x:c r="Q48" s="81" t="str">
        <x:v>Draw one room route with typed edges, inspection points and unresolved junctions.</x:v>
      </x:c>
      <x:c r="R48" s="81" t="str">
        <x:v>Different media cannot be distinguished or route implies unsafe installation.</x:v>
      </x:c>
      <x:c r="S48" s="81" t="str">
        <x:v>Representation only; qualified work for building services.</x:v>
      </x:c>
    </x:row>
    <x:row r="49" ht="54" customHeight="1">
      <x:c r="A49" s="82" t="str">
        <x:v>C09</x:v>
      </x:c>
      <x:c r="B49" s="81" t="str">
        <x:v>Symbolic Language</x:v>
      </x:c>
      <x:c r="C49" s="81" t="str">
        <x:v>Mechanism grammar</x:v>
      </x:c>
      <x:c r="D49" s="81" t="str">
        <x:v>SINDER Joint</x:v>
      </x:c>
      <x:c r="E49" s="81" t="str">
        <x:v>cassette/module</x:v>
      </x:c>
      <x:c r="F49" s="81" t="str">
        <x:v>staged</x:v>
      </x:c>
      <x:c r="G49" s="81" t="str">
        <x:v>testable hypothesis</x:v>
      </x:c>
      <x:c r="H49" s="81" t="str">
        <x:v>confirmed artifact</x:v>
      </x:c>
      <x:c r="I49" s="81" t="str">
        <x:v>P1</x:v>
      </x:c>
      <x:c r="J49" s="81" t="str">
        <x:v>next</x:v>
      </x:c>
      <x:c r="K49" s="81" t="str">
        <x:v>physical cassette</x:v>
      </x:c>
      <x:c r="L49" s="81" t="str">
        <x:v>Treat a joint as a programmable relation with motions, limits and failure cues.</x:v>
      </x:c>
      <x:c r="M49" s="81" t="str">
        <x:v>CASSETTE_ATLAS_v0.1.md; cassette_atlas.csv</x:v>
      </x:c>
      <x:c r="N49" s="81" t="str">
        <x:v>Cassette Atlas; structural hinges</x:v>
      </x:c>
      <x:c r="O49" s="81" t="str">
        <x:v>WD-019</x:v>
      </x:c>
      <x:c r="P49" s="81" t="str">
        <x:v>No low-load physical test.</x:v>
      </x:c>
      <x:c r="Q49" s="81" t="str">
        <x:v>Build one cardboard low-load joint and record allowed motion and failure cues.</x:v>
      </x:c>
      <x:c r="R49" s="81" t="str">
        <x:v>Behavior cannot be specified or safely repeated.</x:v>
      </x:c>
      <x:c r="S49" s="81" t="str">
        <x:v>Low-load prototype only; no structural claims.</x:v>
      </x:c>
    </x:row>
    <x:row r="50" ht="54" customHeight="1">
      <x:c r="A50" s="82" t="str">
        <x:v>SL-010</x:v>
      </x:c>
      <x:c r="B50" s="81" t="str">
        <x:v>Symbolic Language</x:v>
      </x:c>
      <x:c r="C50" s="81" t="str">
        <x:v>Spatial grammar</x:v>
      </x:c>
      <x:c r="D50" s="81" t="str">
        <x:v>Tile / Backplane Grammar</x:v>
      </x:c>
      <x:c r="E50" s="81" t="str">
        <x:v>interface grammar</x:v>
      </x:c>
      <x:c r="F50" s="81" t="str">
        <x:v>captured</x:v>
      </x:c>
      <x:c r="G50" s="81" t="str">
        <x:v>adjacent-domain analogy</x:v>
      </x:c>
      <x:c r="H50" s="81" t="str">
        <x:v>confirmed project</x:v>
      </x:c>
      <x:c r="I50" s="81" t="str">
        <x:v>P2</x:v>
      </x:c>
      <x:c r="J50" s="81" t="str">
        <x:v>later</x:v>
      </x:c>
      <x:c r="K50" s="81" t="str">
        <x:v>canon page</x:v>
      </x:c>
      <x:c r="L50" s="81" t="str">
        <x:v>Expose adjacency and typed ports without making tile, route, hinge and room identical.</x:v>
      </x:c>
      <x:c r="M50" s="81" t="str">
        <x:v>CASSETTE_ATLAS_v0.1.md</x:v>
      </x:c>
      <x:c r="N50" s="81" t="str">
        <x:v>Gridfinity reference; labyrinth tiles</x:v>
      </x:c>
      <x:c r="O50" s="81" t="str">
        <x:v>C10; Cassette Atlas</x:v>
      </x:c>
      <x:c r="P50" s="81" t="str">
        <x:v>Port types and adapters unresolved.</x:v>
      </x:c>
      <x:c r="Q50" s="81" t="str">
        <x:v>Specify three tile types and one explicit adapter.</x:v>
      </x:c>
      <x:c r="R50" s="81" t="str">
        <x:v>Tiles require category collapse to interoperate.</x:v>
      </x:c>
      <x:c r="S50" s="81" t="str">
        <x:v>No live electrical or plumbing installation instructions.</x:v>
      </x:c>
    </x:row>
    <x:row r="51" ht="54" customHeight="1">
      <x:c r="A51" s="82" t="str">
        <x:v>SL-011</x:v>
      </x:c>
      <x:c r="B51" s="81" t="str">
        <x:v>Symbolic Language</x:v>
      </x:c>
      <x:c r="C51" s="81" t="str">
        <x:v>Spatial projection</x:v>
      </x:c>
      <x:c r="D51" s="81" t="str">
        <x:v>Cube / Rooms Projection</x:v>
      </x:c>
      <x:c r="E51" s="81" t="str">
        <x:v>representation system</x:v>
      </x:c>
      <x:c r="F51" s="81" t="str">
        <x:v>captured</x:v>
      </x:c>
      <x:c r="G51" s="81" t="str">
        <x:v>metaphor</x:v>
      </x:c>
      <x:c r="H51" s="81" t="str">
        <x:v>confirmed project</x:v>
      </x:c>
      <x:c r="I51" s="81" t="str">
        <x:v>P3</x:v>
      </x:c>
      <x:c r="J51" s="81" t="str">
        <x:v>later</x:v>
      </x:c>
      <x:c r="K51" s="81" t="str">
        <x:v>visual artifact</x:v>
      </x:c>
      <x:c r="L51" s="81" t="str">
        <x:v>Project formal/symbolic structures into navigable rooms without losing source semantics.</x:v>
      </x:c>
      <x:c r="M51" s="81" t="str"/>
      <x:c r="N51" s="81" t="str">
        <x:v>DataDisc; doors; cube/rooms</x:v>
      </x:c>
      <x:c r="O51" s="81" t="str">
        <x:v>APP-001; APP-041</x:v>
      </x:c>
      <x:c r="P51" s="81" t="str">
        <x:v>Smallest useful interaction not recovered.</x:v>
      </x:c>
      <x:c r="Q51" s="81" t="str">
        <x:v>Recover one legacy cube/room fixture after interpreter proof.</x:v>
      </x:c>
      <x:c r="R51" s="81" t="str">
        <x:v>Only aesthetic spatialization remains.</x:v>
      </x:c>
      <x:c r="S51" s="81" t="str">
        <x:v>No forced lore merger.</x:v>
      </x:c>
    </x:row>
    <x:row r="52" ht="54" customHeight="1">
      <x:c r="A52" s="82" t="str">
        <x:v>SL-012</x:v>
      </x:c>
      <x:c r="B52" s="81" t="str">
        <x:v>Symbolic Language</x:v>
      </x:c>
      <x:c r="C52" s="81" t="str">
        <x:v>Formal system</x:v>
      </x:c>
      <x:c r="D52" s="81" t="str">
        <x:v>Action Algebra and Exposed AST</x:v>
      </x:c>
      <x:c r="E52" s="81" t="str">
        <x:v>formal mechanism</x:v>
      </x:c>
      <x:c r="F52" s="81" t="str">
        <x:v>staged</x:v>
      </x:c>
      <x:c r="G52" s="81" t="str">
        <x:v>testable hypothesis</x:v>
      </x:c>
      <x:c r="H52" s="81" t="str">
        <x:v>confirmed project</x:v>
      </x:c>
      <x:c r="I52" s="81" t="str">
        <x:v>P0</x:v>
      </x:c>
      <x:c r="J52" s="81" t="str">
        <x:v>next</x:v>
      </x:c>
      <x:c r="K52" s="81" t="str">
        <x:v>code artifact</x:v>
      </x:c>
      <x:c r="L52" s="81" t="str">
        <x:v>Represent transformations as inspectable operations with source-preserving structure.</x:v>
      </x:c>
      <x:c r="M52" s="81" t="str">
        <x:v>SINDERESIS-working-outline.md</x:v>
      </x:c>
      <x:c r="N52" s="81" t="str">
        <x:v>SINDERESIS; code archaeology plan</x:v>
      </x:c>
      <x:c r="O52" s="81" t="str">
        <x:v>KS-001; APP-001</x:v>
      </x:c>
      <x:c r="P52" s="81" t="str">
        <x:v>Primitive types and operation semantics unresolved.</x:v>
      </x:c>
      <x:c r="Q52" s="81" t="str">
        <x:v>Implement declare/define/let/interpret/transform/seal on one fixture.</x:v>
      </x:c>
      <x:c r="R52" s="81" t="str">
        <x:v>Cannot replay or expose ambiguity/failure.</x:v>
      </x:c>
      <x:c r="S52" s="81" t="str">
        <x:v>No execution of untrusted code.</x:v>
      </x:c>
    </x:row>
    <x:row r="53" ht="54" customHeight="1">
      <x:c r="A53" s="82" t="str">
        <x:v>APP-030</x:v>
      </x:c>
      <x:c r="B53" s="81" t="str">
        <x:v>Symbolic Language</x:v>
      </x:c>
      <x:c r="C53" s="81" t="str">
        <x:v>Pattern systems</x:v>
      </x:c>
      <x:c r="D53" s="81" t="str">
        <x:v>Pattern Laboratory</x:v>
      </x:c>
      <x:c r="E53" s="81" t="str">
        <x:v>app</x:v>
      </x:c>
      <x:c r="F53" s="81" t="str">
        <x:v>triaged</x:v>
      </x:c>
      <x:c r="G53" s="81" t="str">
        <x:v>bounded evidence</x:v>
      </x:c>
      <x:c r="H53" s="81" t="str">
        <x:v>confirmed artifact</x:v>
      </x:c>
      <x:c r="I53" s="81" t="str">
        <x:v>P1</x:v>
      </x:c>
      <x:c r="J53" s="81" t="str">
        <x:v>later</x:v>
      </x:c>
      <x:c r="K53" s="81" t="str">
        <x:v>app</x:v>
      </x:c>
      <x:c r="L53" s="81" t="str">
        <x:v>Explore aperiodic tilings, substitutions, recursion, symmetry and fractal dimension.</x:v>
      </x:c>
      <x:c r="M53" s="81" t="str">
        <x:v>APP_ATLAS_V1.md; app_atlas_v1.json</x:v>
      </x:c>
      <x:c r="N53" s="81" t="str">
        <x:v>pattern/aperiodic explorer</x:v>
      </x:c>
      <x:c r="O53" s="81" t="str">
        <x:v>APP-061</x:v>
      </x:c>
      <x:c r="P53" s="81" t="str">
        <x:v>Deterministic engine and measurement definitions missing.</x:v>
      </x:c>
      <x:c r="Q53" s="81" t="str">
        <x:v>Implement one substitution system with reproducible measurements.</x:v>
      </x:c>
      <x:c r="R53" s="81" t="str">
        <x:v>Visual output cannot be regenerated from seed and rules.</x:v>
      </x:c>
      <x:c r="S53" s="81" t="str">
        <x:v>No claim of scientific validity without definitions.</x:v>
      </x:c>
    </x:row>
    <x:row r="54" ht="54" customHeight="1">
      <x:c r="A54" s="82" t="str">
        <x:v>APP-061</x:v>
      </x:c>
      <x:c r="B54" s="81" t="str">
        <x:v>Symbolic Language</x:v>
      </x:c>
      <x:c r="C54" s="81" t="str">
        <x:v>Pattern systems</x:v>
      </x:c>
      <x:c r="D54" s="81" t="str">
        <x:v>Pattern Bloom</x:v>
      </x:c>
      <x:c r="E54" s="81" t="str">
        <x:v>app</x:v>
      </x:c>
      <x:c r="F54" s="81" t="str">
        <x:v>triaged</x:v>
      </x:c>
      <x:c r="G54" s="81" t="str">
        <x:v>testable hypothesis</x:v>
      </x:c>
      <x:c r="H54" s="81" t="str">
        <x:v>confirmed artifact</x:v>
      </x:c>
      <x:c r="I54" s="81" t="str">
        <x:v>P2</x:v>
      </x:c>
      <x:c r="J54" s="81" t="str">
        <x:v>later</x:v>
      </x:c>
      <x:c r="K54" s="81" t="str">
        <x:v>app</x:v>
      </x:c>
      <x:c r="L54" s="81" t="str">
        <x:v>Generate visual/material families while retaining an underlying pattern signature.</x:v>
      </x:c>
      <x:c r="M54" s="81" t="str">
        <x:v>APP_ATLAS_V1.md; app_atlas_v1.json</x:v>
      </x:c>
      <x:c r="N54" s="81" t="str">
        <x:v>Pattern Laboratory</x:v>
      </x:c>
      <x:c r="O54" s="81" t="str">
        <x:v>APP-030</x:v>
      </x:c>
      <x:c r="P54" s="81" t="str">
        <x:v>Signature-preservation test unresolved.</x:v>
      </x:c>
      <x:c r="Q54" s="81" t="str">
        <x:v>Generate four variants and test invariant recovery.</x:v>
      </x:c>
      <x:c r="R54" s="81" t="str">
        <x:v>Viewers or checker cannot identify the shared rule above chance.</x:v>
      </x:c>
      <x:c r="S54" s="81" t="str">
        <x:v>Avoid overstating perceptual findings.</x:v>
      </x:c>
    </x:row>
    <x:row r="55" ht="54" customHeight="1">
      <x:c r="A55" s="82" t="str">
        <x:v>APP-062</x:v>
      </x:c>
      <x:c r="B55" s="81" t="str">
        <x:v>Symbolic Language</x:v>
      </x:c>
      <x:c r="C55" s="81" t="str">
        <x:v>Glyph deployment</x:v>
      </x:c>
      <x:c r="D55" s="81" t="str">
        <x:v>Seal to World</x:v>
      </x:c>
      <x:c r="E55" s="81" t="str">
        <x:v>app</x:v>
      </x:c>
      <x:c r="F55" s="81" t="str">
        <x:v>triaged</x:v>
      </x:c>
      <x:c r="G55" s="81" t="str">
        <x:v>testable hypothesis</x:v>
      </x:c>
      <x:c r="H55" s="81" t="str">
        <x:v>confirmed artifact</x:v>
      </x:c>
      <x:c r="I55" s="81" t="str">
        <x:v>P2</x:v>
      </x:c>
      <x:c r="J55" s="81" t="str">
        <x:v>later</x:v>
      </x:c>
      <x:c r="K55" s="81" t="str">
        <x:v>app</x:v>
      </x:c>
      <x:c r="L55" s="81" t="str">
        <x:v>Carry one glyph across object, textile, architecture, interface and motion without losing topology.</x:v>
      </x:c>
      <x:c r="M55" s="81" t="str">
        <x:v>APP_ATLAS_V1.md; app_atlas_v1.json</x:v>
      </x:c>
      <x:c r="N55" s="81" t="str">
        <x:v>seal/glyph family</x:v>
      </x:c>
      <x:c r="O55" s="81" t="str">
        <x:v>APP-031</x:v>
      </x:c>
      <x:c r="P55" s="81" t="str">
        <x:v>Cross-medium invariant checker missing.</x:v>
      </x:c>
      <x:c r="Q55" s="81" t="str">
        <x:v>Translate one seal into three media and compare topology.</x:v>
      </x:c>
      <x:c r="R55" s="81" t="str">
        <x:v>Meaning/family identity depends on explanatory caption alone.</x:v>
      </x:c>
      <x:c r="S55" s="81" t="str">
        <x:v>Safe mockups before fabrication.</x:v>
      </x:c>
    </x:row>
    <x:row r="56" ht="54" customHeight="1">
      <x:c r="A56" s="82" t="str">
        <x:v>SL-016</x:v>
      </x:c>
      <x:c r="B56" s="81" t="str">
        <x:v>Symbolic Language</x:v>
      </x:c>
      <x:c r="C56" s="81" t="str">
        <x:v>Spatial worlds</x:v>
      </x:c>
      <x:c r="D56" s="81" t="str">
        <x:v>Monscopia Explorer</x:v>
      </x:c>
      <x:c r="E56" s="81" t="str">
        <x:v>app/world</x:v>
      </x:c>
      <x:c r="F56" s="81" t="str">
        <x:v>captured</x:v>
      </x:c>
      <x:c r="G56" s="81" t="str">
        <x:v>unknown</x:v>
      </x:c>
      <x:c r="H56" s="81" t="str">
        <x:v>confirmed project</x:v>
      </x:c>
      <x:c r="I56" s="81" t="str">
        <x:v>P3</x:v>
      </x:c>
      <x:c r="J56" s="81" t="str">
        <x:v>later</x:v>
      </x:c>
      <x:c r="K56" s="81" t="str">
        <x:v>app</x:v>
      </x:c>
      <x:c r="L56" s="81" t="str">
        <x:v>Recover a long-lineage spatial interaction grammar before rebuilding it.</x:v>
      </x:c>
      <x:c r="M56" s="81" t="str">
        <x:v>APP_ATLAS_V1.md</x:v>
      </x:c>
      <x:c r="N56" s="81" t="str">
        <x:v>App Atlas incubate list</x:v>
      </x:c>
      <x:c r="O56" s="81" t="str">
        <x:v>KS-004</x:v>
      </x:c>
      <x:c r="P56" s="81" t="str">
        <x:v>Earliest interaction grammar missing.</x:v>
      </x:c>
      <x:c r="Q56" s="81" t="str">
        <x:v>Recover original source/spec and identify one non-generic operation.</x:v>
      </x:c>
      <x:c r="R56" s="81" t="str">
        <x:v>Only later fantasy-world aesthetics remain.</x:v>
      </x:c>
      <x:c r="S56" s="81" t="str">
        <x:v>No invention presented as recovery.</x:v>
      </x:c>
    </x:row>
    <x:row r="57" ht="54" customHeight="1">
      <x:c r="A57" s="82" t="str">
        <x:v>SL-017</x:v>
      </x:c>
      <x:c r="B57" s="81" t="str">
        <x:v>Symbolic Language</x:v>
      </x:c>
      <x:c r="C57" s="81" t="str">
        <x:v>Motion grammar</x:v>
      </x:c>
      <x:c r="D57" s="81" t="str">
        <x:v>Glyphline / Pattern Motion Forge</x:v>
      </x:c>
      <x:c r="E57" s="81" t="str">
        <x:v>app</x:v>
      </x:c>
      <x:c r="F57" s="81" t="str">
        <x:v>captured</x:v>
      </x:c>
      <x:c r="G57" s="81" t="str">
        <x:v>testable hypothesis</x:v>
      </x:c>
      <x:c r="H57" s="81" t="str">
        <x:v>confirmed project</x:v>
      </x:c>
      <x:c r="I57" s="81" t="str">
        <x:v>P3</x:v>
      </x:c>
      <x:c r="J57" s="81" t="str">
        <x:v>later</x:v>
      </x:c>
      <x:c r="K57" s="81" t="str">
        <x:v>visual artifact</x:v>
      </x:c>
      <x:c r="L57" s="81" t="str">
        <x:v>Animate glyph and pattern rules while retaining topological identity.</x:v>
      </x:c>
      <x:c r="M57" s="81" t="str">
        <x:v>APP_ATLAS_V1.md</x:v>
      </x:c>
      <x:c r="N57" s="81" t="str">
        <x:v>Higgsfield-native shortlist</x:v>
      </x:c>
      <x:c r="O57" s="81" t="str">
        <x:v>APP-030; APP-031</x:v>
      </x:c>
      <x:c r="P57" s="81" t="str">
        <x:v>No motion invariant or prototype.</x:v>
      </x:c>
      <x:c r="Q57" s="81" t="str">
        <x:v>Animate one declared transform and test start/end identity.</x:v>
      </x:c>
      <x:c r="R57" s="81" t="str">
        <x:v>Motion obscures the rule rather than expressing it.</x:v>
      </x:c>
      <x:c r="S57" s="81" t="str">
        <x:v>No strobing or unsafe visual effects.</x:v>
      </x:c>
    </x:row>
    <x:row r="58" ht="54" customHeight="1">
      <x:c r="A58" s="82" t="str">
        <x:v>MP-001</x:v>
      </x:c>
      <x:c r="B58" s="81" t="str">
        <x:v>Mythic and Poetic Engine</x:v>
      </x:c>
      <x:c r="C58" s="81" t="str">
        <x:v>Prison Age</x:v>
      </x:c>
      <x:c r="D58" s="81" t="str">
        <x:v>Prison Age</x:v>
      </x:c>
      <x:c r="E58" s="81" t="str">
        <x:v>world/diagnostic system</x:v>
      </x:c>
      <x:c r="F58" s="81" t="str">
        <x:v>active</x:v>
      </x:c>
      <x:c r="G58" s="81" t="str">
        <x:v>metaphor</x:v>
      </x:c>
      <x:c r="H58" s="81" t="str">
        <x:v>confirmed artifact</x:v>
      </x:c>
      <x:c r="I58" s="81" t="str">
        <x:v>P0</x:v>
      </x:c>
      <x:c r="J58" s="81" t="str">
        <x:v>now</x:v>
      </x:c>
      <x:c r="K58" s="81" t="str">
        <x:v>dossier</x:v>
      </x:c>
      <x:c r="L58" s="81" t="str">
        <x:v>Use constraint, jurisdiction, re-entry and excluded remainder as operational diagnostics.</x:v>
      </x:c>
      <x:c r="M58" s="81" t="str">
        <x:v>Prison Age visual files; Sleeper_Atlas_Reader_Compendium.pdf</x:v>
      </x:c>
      <x:c r="N58" s="81" t="str">
        <x:v>Prison Age corpus and generated strata</x:v>
      </x:c>
      <x:c r="O58" s="81" t="str">
        <x:v>CONST-001; Sleeper Federation</x:v>
      </x:c>
      <x:c r="P58" s="81" t="str">
        <x:v>Canon, source/reconstruction status and artifact families remain fragmented.</x:v>
      </x:c>
      <x:c r="Q58" s="81" t="str">
        <x:v>Create one canonical dossier row set with Ø/R/A/V/C/I statuses and source links.</x:v>
      </x:c>
      <x:c r="R58" s="81" t="str">
        <x:v>Lore accretes without new operation, evidence or field use.</x:v>
      </x:c>
      <x:c r="S58" s="81" t="str">
        <x:v>Keep violent or distressing material non-graphic.</x:v>
      </x:c>
    </x:row>
    <x:row r="59" ht="54" customHeight="1">
      <x:c r="A59" s="82" t="str">
        <x:v>MP-002</x:v>
      </x:c>
      <x:c r="B59" s="81" t="str">
        <x:v>Mythic and Poetic Engine</x:v>
      </x:c>
      <x:c r="C59" s="81" t="str">
        <x:v>Storm/Confluence</x:v>
      </x:c>
      <x:c r="D59" s="81" t="str">
        <x:v>Child of Storms</x:v>
      </x:c>
      <x:c r="E59" s="81" t="str">
        <x:v>poetic system</x:v>
      </x:c>
      <x:c r="F59" s="81" t="str">
        <x:v>active</x:v>
      </x:c>
      <x:c r="G59" s="81" t="str">
        <x:v>metaphor</x:v>
      </x:c>
      <x:c r="H59" s="81" t="str">
        <x:v>confirmed project</x:v>
      </x:c>
      <x:c r="I59" s="81" t="str">
        <x:v>P1</x:v>
      </x:c>
      <x:c r="J59" s="81" t="str">
        <x:v>next</x:v>
      </x:c>
      <x:c r="K59" s="81" t="str">
        <x:v>canon page</x:v>
      </x:c>
      <x:c r="L59" s="81" t="str">
        <x:v>Carry labor, making, fracture, inheritance and confluence through minimal powerful forms.</x:v>
      </x:c>
      <x:c r="M59" s="81" t="str"/>
      <x:c r="N59" s="81" t="str">
        <x:v>Child of Storms drafts; convergence atlas</x:v>
      </x:c>
      <x:c r="O59" s="81" t="str">
        <x:v>MP-001; MP-003</x:v>
      </x:c>
      <x:c r="P59" s="81" t="str">
        <x:v>Original peak drafts and mini-template tables not fully recovered.</x:v>
      </x:c>
      <x:c r="Q59" s="81" t="str">
        <x:v>Recover strongest prior variants and mark source versus later reconstruction.</x:v>
      </x:c>
      <x:c r="R59" s="81" t="str">
        <x:v>New writing replaces rather than recovers the surviving essence.</x:v>
      </x:c>
      <x:c r="S59" s="81" t="str">
        <x:v>Keep difficult themes non-graphic.</x:v>
      </x:c>
    </x:row>
    <x:row r="60" ht="54" customHeight="1">
      <x:c r="A60" s="82" t="str">
        <x:v>MP-003</x:v>
      </x:c>
      <x:c r="B60" s="81" t="str">
        <x:v>Mythic and Poetic Engine</x:v>
      </x:c>
      <x:c r="C60" s="81" t="str">
        <x:v>Wake/Contact</x:v>
      </x:c>
      <x:c r="D60" s="81" t="str">
        <x:v>You’re a Wake</x:v>
      </x:c>
      <x:c r="E60" s="81" t="str">
        <x:v>poetic/convergence system</x:v>
      </x:c>
      <x:c r="F60" s="81" t="str">
        <x:v>active</x:v>
      </x:c>
      <x:c r="G60" s="81" t="str">
        <x:v>metaphor</x:v>
      </x:c>
      <x:c r="H60" s="81" t="str">
        <x:v>confirmed artifact</x:v>
      </x:c>
      <x:c r="I60" s="81" t="str">
        <x:v>P1</x:v>
      </x:c>
      <x:c r="J60" s="81" t="str">
        <x:v>next</x:v>
      </x:c>
      <x:c r="K60" s="81" t="str">
        <x:v>reader edition</x:v>
      </x:c>
      <x:c r="L60" s="81" t="str">
        <x:v>Organize contact, distinction, rotation and trace into a coherent poetic structure.</x:v>
      </x:c>
      <x:c r="M60" s="81" t="str">
        <x:v>Youre_a_Wake_CONVERGENCE_v2_1.pdf; .docx</x:v>
      </x:c>
      <x:c r="N60" s="81" t="str">
        <x:v>Google Drive source and convergence package</x:v>
      </x:c>
      <x:c r="O60" s="81" t="str">
        <x:v>MP-002; MP-005</x:v>
      </x:c>
      <x:c r="P60" s="81" t="str">
        <x:v>Canonical source-to-convergence change map incomplete.</x:v>
      </x:c>
      <x:c r="Q60" s="81" t="str">
        <x:v>Create a one-page lineage map from source images/ideas to current sections.</x:v>
      </x:c>
      <x:c r="R60" s="81" t="str">
        <x:v>Convergence package adds themes without source return.</x:v>
      </x:c>
      <x:c r="S60" s="81" t="str">
        <x:v>No romantic roleplay; maintain literary analysis.</x:v>
      </x:c>
    </x:row>
    <x:row r="61" ht="54" customHeight="1">
      <x:c r="A61" s="82" t="str">
        <x:v>MP-004</x:v>
      </x:c>
      <x:c r="B61" s="81" t="str">
        <x:v>Mythic and Poetic Engine</x:v>
      </x:c>
      <x:c r="C61" s="81" t="str">
        <x:v>Performance/state</x:v>
      </x:c>
      <x:c r="D61" s="81" t="str">
        <x:v>Rasa Protocol and Performance System</x:v>
      </x:c>
      <x:c r="E61" s="81" t="str">
        <x:v>performance grammar</x:v>
      </x:c>
      <x:c r="F61" s="81" t="str">
        <x:v>triaged</x:v>
      </x:c>
      <x:c r="G61" s="81" t="str">
        <x:v>adjacent-domain analogy</x:v>
      </x:c>
      <x:c r="H61" s="81" t="str">
        <x:v>confirmed project</x:v>
      </x:c>
      <x:c r="I61" s="81" t="str">
        <x:v>P2</x:v>
      </x:c>
      <x:c r="J61" s="81" t="str">
        <x:v>later</x:v>
      </x:c>
      <x:c r="K61" s="81" t="str">
        <x:v>protocol</x:v>
      </x:c>
      <x:c r="L61" s="81" t="str">
        <x:v>Use state, perturbation, transition and residue as invisible performance architecture.</x:v>
      </x:c>
      <x:c r="M61" s="81" t="str"/>
      <x:c r="N61" s="81" t="str">
        <x:v>Rasa Theory Performance Protocol</x:v>
      </x:c>
      <x:c r="O61" s="81" t="str">
        <x:v>Sleeper Federation; Series Grammar</x:v>
      </x:c>
      <x:c r="P61" s="81" t="str">
        <x:v>Evidence boundaries and smallest performance fixture unresolved.</x:v>
      </x:c>
      <x:c r="Q61" s="81" t="str">
        <x:v>Specify one short scene with state before, perturbation, transition and residue.</x:v>
      </x:c>
      <x:c r="R61" s="81" t="str">
        <x:v>Framework becomes visible jargon without improving performance.</x:v>
      </x:c>
      <x:c r="S61" s="81" t="str">
        <x:v>No immersive romantic content.</x:v>
      </x:c>
    </x:row>
    <x:row r="62" ht="54" customHeight="1">
      <x:c r="A62" s="82" t="str">
        <x:v>MP-005</x:v>
      </x:c>
      <x:c r="B62" s="81" t="str">
        <x:v>Mythic and Poetic Engine</x:v>
      </x:c>
      <x:c r="C62" s="81" t="str">
        <x:v>Sleeper</x:v>
      </x:c>
      <x:c r="D62" s="81" t="str">
        <x:v>Sleeper Worlds / Federation</x:v>
      </x:c>
      <x:c r="E62" s="81" t="str">
        <x:v>world federation</x:v>
      </x:c>
      <x:c r="F62" s="81" t="str">
        <x:v>active</x:v>
      </x:c>
      <x:c r="G62" s="81" t="str">
        <x:v>metaphor</x:v>
      </x:c>
      <x:c r="H62" s="81" t="str">
        <x:v>confirmed artifact</x:v>
      </x:c>
      <x:c r="I62" s="81" t="str">
        <x:v>P1</x:v>
      </x:c>
      <x:c r="J62" s="81" t="str">
        <x:v>next</x:v>
      </x:c>
      <x:c r="K62" s="81" t="str">
        <x:v>dossier</x:v>
      </x:c>
      <x:c r="L62" s="81" t="str">
        <x:v>Federate worlds through operators while preserving chronology and canon boundaries.</x:v>
      </x:c>
      <x:c r="M62" s="81" t="str">
        <x:v>Sleeper_Federation_Map_v1.md; Sleeper_Atlas_Reader_Compendium.pdf</x:v>
      </x:c>
      <x:c r="N62" s="81" t="str">
        <x:v>Sleeper atlas</x:v>
      </x:c>
      <x:c r="O62" s="81" t="str">
        <x:v>MP-001; House OS; Council; Rasa</x:v>
      </x:c>
      <x:c r="P62" s="81" t="str">
        <x:v>Source strata and canonical world boundaries incomplete.</x:v>
      </x:c>
      <x:c r="Q62" s="81" t="str">
        <x:v>Test one operator transfer to House OS with explicit non-transfer list.</x:v>
      </x:c>
      <x:c r="R62" s="81" t="str">
        <x:v>Transfer imports characters/history or erases material constraints.</x:v>
      </x:c>
      <x:c r="S62" s="81" t="str">
        <x:v>Fiction remains distinct from evidence.</x:v>
      </x:c>
    </x:row>
    <x:row r="63" ht="54" customHeight="1">
      <x:c r="A63" s="82" t="str">
        <x:v>MP-006</x:v>
      </x:c>
      <x:c r="B63" s="81" t="str">
        <x:v>Mythic and Poetic Engine</x:v>
      </x:c>
      <x:c r="C63" s="81" t="str">
        <x:v>Microstories</x:v>
      </x:c>
      <x:c r="D63" s="81" t="str">
        <x:v>All Paths Real, None Final — 512 Microstories</x:v>
      </x:c>
      <x:c r="E63" s="81" t="str">
        <x:v>story collection</x:v>
      </x:c>
      <x:c r="F63" s="81" t="str">
        <x:v>canonical</x:v>
      </x:c>
      <x:c r="G63" s="81" t="str">
        <x:v>metaphor</x:v>
      </x:c>
      <x:c r="H63" s="81" t="str">
        <x:v>confirmed artifact</x:v>
      </x:c>
      <x:c r="I63" s="81" t="str">
        <x:v>P2</x:v>
      </x:c>
      <x:c r="J63" s="81" t="str">
        <x:v>later</x:v>
      </x:c>
      <x:c r="K63" s="81" t="str">
        <x:v>reader edition</x:v>
      </x:c>
      <x:c r="L63" s="81" t="str">
        <x:v>Preserve a large branching microstory field as a recoverable corpus.</x:v>
      </x:c>
      <x:c r="M63" s="81" t="str">
        <x:v>ALL_PATHS_REAL_NONE_FINAL_512_MICROSTORIES.docx</x:v>
      </x:c>
      <x:c r="N63" s="81" t="str">
        <x:v>Sleeper/atlas strata</x:v>
      </x:c>
      <x:c r="O63" s="81" t="str">
        <x:v>MP-005</x:v>
      </x:c>
      <x:c r="P63" s="81" t="str">
        <x:v>Index, motifs and provenance of individual stories not registered.</x:v>
      </x:c>
      <x:c r="Q63" s="81" t="str">
        <x:v>Create a lightweight story index with IDs and motif tags.</x:v>
      </x:c>
      <x:c r="R63" s="81" t="str">
        <x:v>Indexing flattens distinct voices or chronology.</x:v>
      </x:c>
      <x:c r="S63" s="81" t="str">
        <x:v>Keep any mature themes age-appropriate and non-explicit.</x:v>
      </x:c>
    </x:row>
    <x:row r="64" ht="54" customHeight="1">
      <x:c r="A64" s="82" t="str">
        <x:v>MP-007</x:v>
      </x:c>
      <x:c r="B64" s="81" t="str">
        <x:v>Mythic and Poetic Engine</x:v>
      </x:c>
      <x:c r="C64" s="81" t="str">
        <x:v>Poetry</x:v>
      </x:c>
      <x:c r="D64" s="81" t="str">
        <x:v>Anthropy Poetry Draft</x:v>
      </x:c>
      <x:c r="E64" s="81" t="str">
        <x:v>poetry collection</x:v>
      </x:c>
      <x:c r="F64" s="81" t="str">
        <x:v>triaged</x:v>
      </x:c>
      <x:c r="G64" s="81" t="str">
        <x:v>metaphor</x:v>
      </x:c>
      <x:c r="H64" s="81" t="str">
        <x:v>confirmed artifact</x:v>
      </x:c>
      <x:c r="I64" s="81" t="str">
        <x:v>P1</x:v>
      </x:c>
      <x:c r="J64" s="81" t="str">
        <x:v>next</x:v>
      </x:c>
      <x:c r="K64" s="81" t="str">
        <x:v>reader edition</x:v>
      </x:c>
      <x:c r="L64" s="81" t="str">
        <x:v>Distill recurring motifs and line-level devices into a coherent set.</x:v>
      </x:c>
      <x:c r="M64" s="81" t="str">
        <x:v>GP-2021-EN-POETRY~anthropy(draft).pdf</x:v>
      </x:c>
      <x:c r="N64" s="81" t="str">
        <x:v>Google Drive poetry source</x:v>
      </x:c>
      <x:c r="O64" s="81" t="str">
        <x:v>Laconic Grammar</x:v>
      </x:c>
      <x:c r="P64" s="81" t="str">
        <x:v>Consolidated writing-sample index incomplete.</x:v>
      </x:c>
      <x:c r="Q64" s="81" t="str">
        <x:v>Map ten strongest devices to poems and proposed ordering.</x:v>
      </x:c>
      <x:c r="R64" s="81" t="str">
        <x:v>Editing plan erases voice variation or provenance.</x:v>
      </x:c>
      <x:c r="S64" s="81" t="str">
        <x:v>Do not reproduce long copyrighted passages.</x:v>
      </x:c>
    </x:row>
    <x:row r="65" ht="54" customHeight="1">
      <x:c r="A65" s="82" t="str">
        <x:v>MP-008</x:v>
      </x:c>
      <x:c r="B65" s="81" t="str">
        <x:v>Mythic and Poetic Engine</x:v>
      </x:c>
      <x:c r="C65" s="81" t="str">
        <x:v>Storyworld</x:v>
      </x:c>
      <x:c r="D65" s="81" t="str">
        <x:v>Slothcake</x:v>
      </x:c>
      <x:c r="E65" s="81" t="str">
        <x:v>storyworld</x:v>
      </x:c>
      <x:c r="F65" s="81" t="str">
        <x:v>captured</x:v>
      </x:c>
      <x:c r="G65" s="81" t="str">
        <x:v>metaphor</x:v>
      </x:c>
      <x:c r="H65" s="81" t="str">
        <x:v>confirmed project</x:v>
      </x:c>
      <x:c r="I65" s="81" t="str">
        <x:v>P3</x:v>
      </x:c>
      <x:c r="J65" s="81" t="str">
        <x:v>later</x:v>
      </x:c>
      <x:c r="K65" s="81" t="str">
        <x:v>canon page</x:v>
      </x:c>
      <x:c r="L65" s="81" t="str">
        <x:v>Preserve a distinct playful storyworld and its transferable mechanics.</x:v>
      </x:c>
      <x:c r="M65" s="81" t="str"/>
      <x:c r="N65" s="81" t="str">
        <x:v>Slothcake conversations; scheduler idea</x:v>
      </x:c>
      <x:c r="O65" s="81" t="str">
        <x:v>KS-004</x:v>
      </x:c>
      <x:c r="P65" s="81" t="str">
        <x:v>Canon and original sources unresolved.</x:v>
      </x:c>
      <x:c r="Q65" s="81" t="str">
        <x:v>Recover the earliest premise and one distinctive mechanic.</x:v>
      </x:c>
      <x:c r="R65" s="81" t="str">
        <x:v>Only later generic scheduling/app ideas remain.</x:v>
      </x:c>
      <x:c r="S65" s="81" t="str">
        <x:v>Age-appropriate content.</x:v>
      </x:c>
    </x:row>
    <x:row r="66" ht="54" customHeight="1">
      <x:c r="A66" s="82" t="str">
        <x:v>MP-009</x:v>
      </x:c>
      <x:c r="B66" s="81" t="str">
        <x:v>Mythic and Poetic Engine</x:v>
      </x:c>
      <x:c r="C66" s="81" t="str">
        <x:v>Singapore worlds</x:v>
      </x:c>
      <x:c r="D66" s="81" t="str">
        <x:v>Sig Nap Ore / Singapore Microstories</x:v>
      </x:c>
      <x:c r="E66" s="81" t="str">
        <x:v>storyworld</x:v>
      </x:c>
      <x:c r="F66" s="81" t="str">
        <x:v>captured</x:v>
      </x:c>
      <x:c r="G66" s="81" t="str">
        <x:v>metaphor</x:v>
      </x:c>
      <x:c r="H66" s="81" t="str">
        <x:v>confirmed project</x:v>
      </x:c>
      <x:c r="I66" s="81" t="str">
        <x:v>P3</x:v>
      </x:c>
      <x:c r="J66" s="81" t="str">
        <x:v>later</x:v>
      </x:c>
      <x:c r="K66" s="81" t="str">
        <x:v>canon page</x:v>
      </x:c>
      <x:c r="L66" s="81" t="str">
        <x:v>Develop compressed Singapore-specific stories and spatial language.</x:v>
      </x:c>
      <x:c r="M66" s="81" t="str"/>
      <x:c r="N66" s="81" t="str">
        <x:v>microstory threads; LIVE in SIN references</x:v>
      </x:c>
      <x:c r="O66" s="81" t="str">
        <x:v>MP-006; Chana/SIN research</x:v>
      </x:c>
      <x:c r="P66" s="81" t="str">
        <x:v>Source files and project boundary unresolved.</x:v>
      </x:c>
      <x:c r="Q66" s="81" t="str">
        <x:v>Locate one primary draft cluster and index motifs.</x:v>
      </x:c>
      <x:c r="R66" s="81" t="str">
        <x:v>Recovery depends entirely on later summary.</x:v>
      </x:c>
      <x:c r="S66" s="81" t="str">
        <x:v>Respect privacy of real people/places.</x:v>
      </x:c>
    </x:row>
    <x:row r="67" ht="54" customHeight="1">
      <x:c r="A67" s="82" t="str">
        <x:v>MP-010</x:v>
      </x:c>
      <x:c r="B67" s="81" t="str">
        <x:v>Mythic and Poetic Engine</x:v>
      </x:c>
      <x:c r="C67" s="81" t="str">
        <x:v>Prison Age outputs</x:v>
      </x:c>
      <x:c r="D67" s="81" t="str">
        <x:v>Prison Age Field Deck</x:v>
      </x:c>
      <x:c r="E67" s="81" t="str">
        <x:v>artifact family</x:v>
      </x:c>
      <x:c r="F67" s="81" t="str">
        <x:v>triaged</x:v>
      </x:c>
      <x:c r="G67" s="81" t="str">
        <x:v>testable hypothesis</x:v>
      </x:c>
      <x:c r="H67" s="81" t="str">
        <x:v>confirmed project</x:v>
      </x:c>
      <x:c r="I67" s="81" t="str">
        <x:v>P1</x:v>
      </x:c>
      <x:c r="J67" s="81" t="str">
        <x:v>next</x:v>
      </x:c>
      <x:c r="K67" s="81" t="str">
        <x:v>visual artifact</x:v>
      </x:c>
      <x:c r="L67" s="81" t="str">
        <x:v>Make 24–36 operational cards that translate canon into field use.</x:v>
      </x:c>
      <x:c r="M67" s="81" t="str"/>
      <x:c r="N67" s="81" t="str">
        <x:v>Prison Age requested artifacts</x:v>
      </x:c>
      <x:c r="O67" s="81" t="str">
        <x:v>MP-001; MP-016</x:v>
      </x:c>
      <x:c r="P67" s="81" t="str">
        <x:v>Card grammar and source status not finalized.</x:v>
      </x:c>
      <x:c r="Q67" s="81" t="str">
        <x:v>Specify three cards with source, operator, status and use.</x:v>
      </x:c>
      <x:c r="R67" s="81" t="str">
        <x:v>Cards become thematic quotes without operation.</x:v>
      </x:c>
      <x:c r="S67" s="81" t="str">
        <x:v>Non-graphic content.</x:v>
      </x:c>
    </x:row>
    <x:row r="68" ht="54" customHeight="1">
      <x:c r="A68" s="82" t="str">
        <x:v>MP-011</x:v>
      </x:c>
      <x:c r="B68" s="81" t="str">
        <x:v>Mythic and Poetic Engine</x:v>
      </x:c>
      <x:c r="C68" s="81" t="str">
        <x:v>Prison Age outputs</x:v>
      </x:c>
      <x:c r="D68" s="81" t="str">
        <x:v>Folding-Fan Codex</x:v>
      </x:c>
      <x:c r="E68" s="81" t="str">
        <x:v>artifact family</x:v>
      </x:c>
      <x:c r="F68" s="81" t="str">
        <x:v>captured</x:v>
      </x:c>
      <x:c r="G68" s="81" t="str">
        <x:v>testable hypothesis</x:v>
      </x:c>
      <x:c r="H68" s="81" t="str">
        <x:v>confirmed project</x:v>
      </x:c>
      <x:c r="I68" s="81" t="str">
        <x:v>P2</x:v>
      </x:c>
      <x:c r="J68" s="81" t="str">
        <x:v>later</x:v>
      </x:c>
      <x:c r="K68" s="81" t="str">
        <x:v>visual artifact</x:v>
      </x:c>
      <x:c r="L68" s="81" t="str">
        <x:v>Use physical folding/radial adjacency as a canonical reading mechanism.</x:v>
      </x:c>
      <x:c r="M68" s="81" t="str"/>
      <x:c r="N68" s="81" t="str">
        <x:v>Prison Age outputs; APP-032</x:v>
      </x:c>
      <x:c r="O68" s="81" t="str">
        <x:v>MP-001; APP-032</x:v>
      </x:c>
      <x:c r="P68" s="81" t="str">
        <x:v>Panel grammar and prototype missing.</x:v>
      </x:c>
      <x:c r="Q68" s="81" t="str">
        <x:v>Map one eight-panel sequence and paper-test folds.</x:v>
      </x:c>
      <x:c r="R68" s="81" t="str">
        <x:v>Fan topology adds no meaningful transformation.</x:v>
      </x:c>
      <x:c r="S68" s="81" t="str">
        <x:v>Safe paper prototype.</x:v>
      </x:c>
    </x:row>
    <x:row r="69" ht="54" customHeight="1">
      <x:c r="A69" s="82" t="str">
        <x:v>MP-012</x:v>
      </x:c>
      <x:c r="B69" s="81" t="str">
        <x:v>Mythic and Poetic Engine</x:v>
      </x:c>
      <x:c r="C69" s="81" t="str">
        <x:v>Prison Age outputs</x:v>
      </x:c>
      <x:c r="D69" s="81" t="str">
        <x:v>Prison Age Reader Edition</x:v>
      </x:c>
      <x:c r="E69" s="81" t="str">
        <x:v>artifact family</x:v>
      </x:c>
      <x:c r="F69" s="81" t="str">
        <x:v>captured</x:v>
      </x:c>
      <x:c r="G69" s="81" t="str">
        <x:v>bounded evidence</x:v>
      </x:c>
      <x:c r="H69" s="81" t="str">
        <x:v>confirmed project</x:v>
      </x:c>
      <x:c r="I69" s="81" t="str">
        <x:v>P2</x:v>
      </x:c>
      <x:c r="J69" s="81" t="str">
        <x:v>later</x:v>
      </x:c>
      <x:c r="K69" s="81" t="str">
        <x:v>reader edition</x:v>
      </x:c>
      <x:c r="L69" s="81" t="str">
        <x:v>Create a legible textual entry point without flattening source status.</x:v>
      </x:c>
      <x:c r="M69" s="81" t="str"/>
      <x:c r="N69" s="81" t="str">
        <x:v>Prison Age requested artifacts</x:v>
      </x:c>
      <x:c r="O69" s="81" t="str">
        <x:v>MP-001</x:v>
      </x:c>
      <x:c r="P69" s="81" t="str">
        <x:v>Canonical table of contents and source map absent.</x:v>
      </x:c>
      <x:c r="Q69" s="81" t="str">
        <x:v>Draft a one-page contents map with provenance classes.</x:v>
      </x:c>
      <x:c r="R69" s="81" t="str">
        <x:v>Reader cannot distinguish canon, reconstruction and proposal.</x:v>
      </x:c>
      <x:c r="S69" s="81" t="str">
        <x:v>Non-graphic presentation.</x:v>
      </x:c>
    </x:row>
    <x:row r="70" ht="54" customHeight="1">
      <x:c r="A70" s="82" t="str">
        <x:v>MP-013</x:v>
      </x:c>
      <x:c r="B70" s="81" t="str">
        <x:v>Mythic and Poetic Engine</x:v>
      </x:c>
      <x:c r="C70" s="81" t="str">
        <x:v>Prison Age outputs</x:v>
      </x:c>
      <x:c r="D70" s="81" t="str">
        <x:v>Prison Age Hypertext Archive</x:v>
      </x:c>
      <x:c r="E70" s="81" t="str">
        <x:v>artifact family</x:v>
      </x:c>
      <x:c r="F70" s="81" t="str">
        <x:v>captured</x:v>
      </x:c>
      <x:c r="G70" s="81" t="str">
        <x:v>testable hypothesis</x:v>
      </x:c>
      <x:c r="H70" s="81" t="str">
        <x:v>confirmed project</x:v>
      </x:c>
      <x:c r="I70" s="81" t="str">
        <x:v>P2</x:v>
      </x:c>
      <x:c r="J70" s="81" t="str">
        <x:v>later</x:v>
      </x:c>
      <x:c r="K70" s="81" t="str">
        <x:v>dashboard</x:v>
      </x:c>
      <x:c r="L70" s="81" t="str">
        <x:v>Navigate source, variants, motifs and operations through explicit links.</x:v>
      </x:c>
      <x:c r="M70" s="81" t="str"/>
      <x:c r="N70" s="81" t="str">
        <x:v>Prison Age requested artifacts</x:v>
      </x:c>
      <x:c r="O70" s="81" t="str">
        <x:v>KS-003; MP-001</x:v>
      </x:c>
      <x:c r="P70" s="81" t="str">
        <x:v>No canonical link/schema implementation.</x:v>
      </x:c>
      <x:c r="Q70" s="81" t="str">
        <x:v>Implement one source→variant→plate path.</x:v>
      </x:c>
      <x:c r="R70" s="81" t="str">
        <x:v>Navigation requires undocumented lore.</x:v>
      </x:c>
      <x:c r="S70" s="81" t="str">
        <x:v>No public release of private source material.</x:v>
      </x:c>
    </x:row>
    <x:row r="71" ht="54" customHeight="1">
      <x:c r="A71" s="82" t="str">
        <x:v>MP-014</x:v>
      </x:c>
      <x:c r="B71" s="81" t="str">
        <x:v>Mythic and Poetic Engine</x:v>
      </x:c>
      <x:c r="C71" s="81" t="str">
        <x:v>Prison Age outputs</x:v>
      </x:c>
      <x:c r="D71" s="81" t="str">
        <x:v>Fake Broadcast Annual</x:v>
      </x:c>
      <x:c r="E71" s="81" t="str">
        <x:v>artifact family</x:v>
      </x:c>
      <x:c r="F71" s="81" t="str">
        <x:v>captured</x:v>
      </x:c>
      <x:c r="G71" s="81" t="str">
        <x:v>metaphor</x:v>
      </x:c>
      <x:c r="H71" s="81" t="str">
        <x:v>confirmed project</x:v>
      </x:c>
      <x:c r="I71" s="81" t="str">
        <x:v>P3</x:v>
      </x:c>
      <x:c r="J71" s="81" t="str">
        <x:v>later</x:v>
      </x:c>
      <x:c r="K71" s="81" t="str">
        <x:v>reader edition</x:v>
      </x:c>
      <x:c r="L71" s="81" t="str">
        <x:v>Express the world through bounded simulated media forms.</x:v>
      </x:c>
      <x:c r="M71" s="81" t="str"/>
      <x:c r="N71" s="81" t="str">
        <x:v>Prison Age requested artifacts</x:v>
      </x:c>
      <x:c r="O71" s="81" t="str">
        <x:v>MP-001</x:v>
      </x:c>
      <x:c r="P71" s="81" t="str">
        <x:v>Purpose, audience and issue structure unresolved.</x:v>
      </x:c>
      <x:c r="Q71" s="81" t="str">
        <x:v>Specify one non-deceptive mock broadcast artifact with clear fictional framing.</x:v>
      </x:c>
      <x:c r="R71" s="81" t="str">
        <x:v>Artifact could be mistaken for real reporting.</x:v>
      </x:c>
      <x:c r="S71" s="81" t="str">
        <x:v>Clearly label fiction; avoid harmful misinformation.</x:v>
      </x:c>
    </x:row>
    <x:row r="72" ht="54" customHeight="1">
      <x:c r="A72" s="82" t="str">
        <x:v>MP-015</x:v>
      </x:c>
      <x:c r="B72" s="81" t="str">
        <x:v>Mythic and Poetic Engine</x:v>
      </x:c>
      <x:c r="C72" s="81" t="str">
        <x:v>Prison Age outputs</x:v>
      </x:c>
      <x:c r="D72" s="81" t="str">
        <x:v>Visual Evidence Atlas</x:v>
      </x:c>
      <x:c r="E72" s="81" t="str">
        <x:v>artifact family</x:v>
      </x:c>
      <x:c r="F72" s="81" t="str">
        <x:v>triaged</x:v>
      </x:c>
      <x:c r="G72" s="81" t="str">
        <x:v>bounded evidence</x:v>
      </x:c>
      <x:c r="H72" s="81" t="str">
        <x:v>confirmed project</x:v>
      </x:c>
      <x:c r="I72" s="81" t="str">
        <x:v>P1</x:v>
      </x:c>
      <x:c r="J72" s="81" t="str">
        <x:v>next</x:v>
      </x:c>
      <x:c r="K72" s="81" t="str">
        <x:v>visual artifact</x:v>
      </x:c>
      <x:c r="L72" s="81" t="str">
        <x:v>Join visual density with explicit evidence and semantic status.</x:v>
      </x:c>
      <x:c r="M72" s="81" t="str">
        <x:v>Prison Age image strata</x:v>
      </x:c>
      <x:c r="N72" s="81" t="str">
        <x:v>Prison Age requested artifacts</x:v>
      </x:c>
      <x:c r="O72" s="81" t="str">
        <x:v>MP-016; KS-002</x:v>
      </x:c>
      <x:c r="P72" s="81" t="str">
        <x:v>Image-to-source mapping incomplete.</x:v>
      </x:c>
      <x:c r="Q72" s="81" t="str">
        <x:v>Annotate one existing eight-panel atlas with status and source fields.</x:v>
      </x:c>
      <x:c r="R72" s="81" t="str">
        <x:v>Visual authority outruns evidence.</x:v>
      </x:c>
      <x:c r="S72" s="81" t="str">
        <x:v>No graphic depictions.</x:v>
      </x:c>
    </x:row>
    <x:row r="73" ht="54" customHeight="1">
      <x:c r="A73" s="82" t="str">
        <x:v>MP-016</x:v>
      </x:c>
      <x:c r="B73" s="81" t="str">
        <x:v>Mythic and Poetic Engine</x:v>
      </x:c>
      <x:c r="C73" s="81" t="str">
        <x:v>Series control</x:v>
      </x:c>
      <x:c r="D73" s="81" t="str">
        <x:v>Plate 09 — Verification / Epistemic Control</x:v>
      </x:c>
      <x:c r="E73" s="81" t="str">
        <x:v>visual specification</x:v>
      </x:c>
      <x:c r="F73" s="81" t="str">
        <x:v>staged</x:v>
      </x:c>
      <x:c r="G73" s="81" t="str">
        <x:v>bounded evidence</x:v>
      </x:c>
      <x:c r="H73" s="81" t="str">
        <x:v>confirmed project</x:v>
      </x:c>
      <x:c r="I73" s="81" t="str">
        <x:v>P0</x:v>
      </x:c>
      <x:c r="J73" s="81" t="str">
        <x:v>next</x:v>
      </x:c>
      <x:c r="K73" s="81" t="str">
        <x:v>visual artifact</x:v>
      </x:c>
      <x:c r="L73" s="81" t="str">
        <x:v>Make verification and epistemic status visible rather than adding another loose theme.</x:v>
      </x:c>
      <x:c r="M73" s="81" t="str"/>
      <x:c r="N73" s="81" t="str">
        <x:v>Series Grammar; Semantic Validation Schema</x:v>
      </x:c>
      <x:c r="O73" s="81" t="str">
        <x:v>KS-002; MP-017</x:v>
      </x:c>
      <x:c r="P73" s="81" t="str">
        <x:v>Final specification and render not resolved.</x:v>
      </x:c>
      <x:c r="Q73" s="81" t="str">
        <x:v>Create the plate spec with exact fields before rendering.</x:v>
      </x:c>
      <x:c r="R73" s="81" t="str">
        <x:v>Plate cannot encode source/status/uncertainty legibly.</x:v>
      </x:c>
      <x:c r="S73" s="81" t="str">
        <x:v>No false authority through visual styling.</x:v>
      </x:c>
    </x:row>
    <x:row r="74" ht="54" customHeight="1">
      <x:c r="A74" s="82" t="str">
        <x:v>MP-017</x:v>
      </x:c>
      <x:c r="B74" s="81" t="str">
        <x:v>Mythic and Poetic Engine</x:v>
      </x:c>
      <x:c r="C74" s="81" t="str">
        <x:v>Series control</x:v>
      </x:c>
      <x:c r="D74" s="81" t="str">
        <x:v>Series Grammar v1 + Semantic Validation Schema v1</x:v>
      </x:c>
      <x:c r="E74" s="81" t="str">
        <x:v>design/control system</x:v>
      </x:c>
      <x:c r="F74" s="81" t="str">
        <x:v>active</x:v>
      </x:c>
      <x:c r="G74" s="81" t="str">
        <x:v>bounded evidence</x:v>
      </x:c>
      <x:c r="H74" s="81" t="str">
        <x:v>confirmed project</x:v>
      </x:c>
      <x:c r="I74" s="81" t="str">
        <x:v>P0</x:v>
      </x:c>
      <x:c r="J74" s="81" t="str">
        <x:v>now</x:v>
      </x:c>
      <x:c r="K74" s="81" t="str">
        <x:v>canon page</x:v>
      </x:c>
      <x:c r="L74" s="81" t="str">
        <x:v>Define visual invariants and classify every statement as poetic, heuristic, derived, tested or verified.</x:v>
      </x:c>
      <x:c r="M74" s="81" t="str"/>
      <x:c r="N74" s="81" t="str">
        <x:v>Rasa/Plate work</x:v>
      </x:c>
      <x:c r="O74" s="81" t="str">
        <x:v>MP-016; KS-002</x:v>
      </x:c>
      <x:c r="P74" s="81" t="str">
        <x:v>Standalone artifact path not resolved.</x:v>
      </x:c>
      <x:c r="Q74" s="81" t="str">
        <x:v>Resolve or recreate the one-page specs and register versions.</x:v>
      </x:c>
      <x:c r="R74" s="81" t="str">
        <x:v>Generated variants cannot be checked against the grammar.</x:v>
      </x:c>
      <x:c r="S74" s="81" t="str">
        <x:v>Keep evidence classes explicit.</x:v>
      </x:c>
    </x:row>
    <x:row r="75" ht="54" customHeight="1">
      <x:c r="A75" s="82" t="str">
        <x:v>MP-018</x:v>
      </x:c>
      <x:c r="B75" s="81" t="str">
        <x:v>Mythic and Poetic Engine</x:v>
      </x:c>
      <x:c r="C75" s="81" t="str">
        <x:v>Interactive atlas</x:v>
      </x:c>
      <x:c r="D75" s="81" t="str">
        <x:v>Phantom Grid v26</x:v>
      </x:c>
      <x:c r="E75" s="81" t="str">
        <x:v>interactive artifact</x:v>
      </x:c>
      <x:c r="F75" s="81" t="str">
        <x:v>canonical</x:v>
      </x:c>
      <x:c r="G75" s="81" t="str">
        <x:v>unknown</x:v>
      </x:c>
      <x:c r="H75" s="81" t="str">
        <x:v>confirmed artifact</x:v>
      </x:c>
      <x:c r="I75" s="81" t="str">
        <x:v>P2</x:v>
      </x:c>
      <x:c r="J75" s="81" t="str">
        <x:v>later</x:v>
      </x:c>
      <x:c r="K75" s="81" t="str">
        <x:v>code artifact</x:v>
      </x:c>
      <x:c r="L75" s="81" t="str">
        <x:v>Preserve a complex interactive visual stratum for lineage analysis.</x:v>
      </x:c>
      <x:c r="M75" s="81" t="str">
        <x:v>phantom-grid-v26.html</x:v>
      </x:c>
      <x:c r="N75" s="81" t="str">
        <x:v>Sleeper/atlas files</x:v>
      </x:c>
      <x:c r="O75" s="81" t="str">
        <x:v>KS-004; MP-019</x:v>
      </x:c>
      <x:c r="P75" s="81" t="str">
        <x:v>Purpose, dependencies and source lineage not yet read.</x:v>
      </x:c>
      <x:c r="Q75" s="81" t="str">
        <x:v>Open and document its visible functions and required assets.</x:v>
      </x:c>
      <x:c r="R75" s="81" t="str">
        <x:v>Artifact cannot run or cannot return to source decisions.</x:v>
      </x:c>
      <x:c r="S75" s="81" t="str">
        <x:v>Local inspection first.</x:v>
      </x:c>
    </x:row>
    <x:row r="76" ht="54" customHeight="1">
      <x:c r="A76" s="82" t="str">
        <x:v>MP-019</x:v>
      </x:c>
      <x:c r="B76" s="81" t="str">
        <x:v>Mythic and Poetic Engine</x:v>
      </x:c>
      <x:c r="C76" s="81" t="str">
        <x:v>Atlas</x:v>
      </x:c>
      <x:c r="D76" s="81" t="str">
        <x:v>Architectural Atlas of Eight Worlds</x:v>
      </x:c>
      <x:c r="E76" s="81" t="str">
        <x:v>visual artifact</x:v>
      </x:c>
      <x:c r="F76" s="81" t="str">
        <x:v>captured</x:v>
      </x:c>
      <x:c r="G76" s="81" t="str">
        <x:v>metaphor</x:v>
      </x:c>
      <x:c r="H76" s="81" t="str">
        <x:v>confirmed project</x:v>
      </x:c>
      <x:c r="I76" s="81" t="str">
        <x:v>P2</x:v>
      </x:c>
      <x:c r="J76" s="81" t="str">
        <x:v>later</x:v>
      </x:c>
      <x:c r="K76" s="81" t="str">
        <x:v>visual artifact</x:v>
      </x:c>
      <x:c r="L76" s="81" t="str">
        <x:v>Map multiple worlds without implying shared chronology.</x:v>
      </x:c>
      <x:c r="M76" s="81" t="str"/>
      <x:c r="N76" s="81" t="str">
        <x:v>retrieved file evidence; Sleeper atlas</x:v>
      </x:c>
      <x:c r="O76" s="81" t="str">
        <x:v>MP-005; KS-004</x:v>
      </x:c>
      <x:c r="P76" s="81" t="str">
        <x:v>Exact Library path unresolved in this pass.</x:v>
      </x:c>
      <x:c r="Q76" s="81" t="str">
        <x:v>Resolve the file and record world/interface boundaries.</x:v>
      </x:c>
      <x:c r="R76" s="81" t="str">
        <x:v>Atlas implies lore merger unsupported by sources.</x:v>
      </x:c>
      <x:c r="S76" s="81" t="str">
        <x:v>Fictional framing.</x:v>
      </x:c>
    </x:row>
    <x:row r="77" ht="54" customHeight="1">
      <x:c r="A77" s="82" t="str">
        <x:v>ST-001</x:v>
      </x:c>
      <x:c r="B77" s="81" t="str">
        <x:v>Sovereign Toolchain</x:v>
      </x:c>
      <x:c r="C77" s="81" t="str">
        <x:v>Core substrate</x:v>
      </x:c>
      <x:c r="D77" s="81" t="str">
        <x:v>Sovereign Node</x:v>
      </x:c>
      <x:c r="E77" s="81" t="str">
        <x:v>system</x:v>
      </x:c>
      <x:c r="F77" s="81" t="str">
        <x:v>active</x:v>
      </x:c>
      <x:c r="G77" s="81" t="str">
        <x:v>bounded evidence</x:v>
      </x:c>
      <x:c r="H77" s="81" t="str">
        <x:v>confirmed project</x:v>
      </x:c>
      <x:c r="I77" s="81" t="str">
        <x:v>P0</x:v>
      </x:c>
      <x:c r="J77" s="81" t="str">
        <x:v>next</x:v>
      </x:c>
      <x:c r="K77" s="81" t="str">
        <x:v>system</x:v>
      </x:c>
      <x:c r="L77" s="81" t="str">
        <x:v>Keep essential capability local, observable, reversible, composable and recoverable.</x:v>
      </x:c>
      <x:c r="M77" s="81" t="str"/>
      <x:c r="N77" s="81" t="str">
        <x:v>Mac mini M4 architecture</x:v>
      </x:c>
      <x:c r="O77" s="81" t="str">
        <x:v>ST-002; ST-003; ST-004; ST-005; ST-008</x:v>
      </x:c>
      <x:c r="P77" s="81" t="str">
        <x:v>Current implementation state and recovery test unverified.</x:v>
      </x:c>
      <x:c r="Q77" s="81" t="str">
        <x:v>Audit the installed baseline against the declared invariant set.</x:v>
      </x:c>
      <x:c r="R77" s="81" t="str">
        <x:v>Core function requires opaque vendor/network dependency.</x:v>
      </x:c>
      <x:c r="S77" s="81" t="str">
        <x:v>No credential exposure; least privilege.</x:v>
      </x:c>
    </x:row>
    <x:row r="78" ht="54" customHeight="1">
      <x:c r="A78" s="82" t="str">
        <x:v>ST-002</x:v>
      </x:c>
      <x:c r="B78" s="81" t="str">
        <x:v>Sovereign Toolchain</x:v>
      </x:c>
      <x:c r="C78" s="81" t="str">
        <x:v>Core substrate</x:v>
      </x:c>
      <x:c r="D78" s="81" t="str">
        <x:v>Nix-Darwin Baseline</x:v>
      </x:c>
      <x:c r="E78" s="81" t="str">
        <x:v>configuration</x:v>
      </x:c>
      <x:c r="F78" s="81" t="str">
        <x:v>triaged</x:v>
      </x:c>
      <x:c r="G78" s="81" t="str">
        <x:v>established</x:v>
      </x:c>
      <x:c r="H78" s="81" t="str">
        <x:v>confirmed project</x:v>
      </x:c>
      <x:c r="I78" s="81" t="str">
        <x:v>P1</x:v>
      </x:c>
      <x:c r="J78" s="81" t="str">
        <x:v>next</x:v>
      </x:c>
      <x:c r="K78" s="81" t="str">
        <x:v>code artifact</x:v>
      </x:c>
      <x:c r="L78" s="81" t="str">
        <x:v>Provide one idempotent, pinned, recoverable machine configuration.</x:v>
      </x:c>
      <x:c r="M78" s="81" t="str"/>
      <x:c r="N78" s="81" t="str">
        <x:v>flake.nix; install.sh proposal</x:v>
      </x:c>
      <x:c r="O78" s="81" t="str">
        <x:v>ST-001</x:v>
      </x:c>
      <x:c r="P78" s="81" t="str">
        <x:v>Current repository and drift state unresolved.</x:v>
      </x:c>
      <x:c r="Q78" s="81" t="str">
        <x:v>Locate configuration and run a non-destructive evaluation/check.</x:v>
      </x:c>
      <x:c r="R78" s="81" t="str">
        <x:v>Rebuild cannot reproduce declared packages or security state.</x:v>
      </x:c>
      <x:c r="S78" s="81" t="str">
        <x:v>No destructive system changes.</x:v>
      </x:c>
    </x:row>
    <x:row r="79" ht="54" customHeight="1">
      <x:c r="A79" s="82" t="str">
        <x:v>ST-003</x:v>
      </x:c>
      <x:c r="B79" s="81" t="str">
        <x:v>Sovereign Toolchain</x:v>
      </x:c>
      <x:c r="C79" s="81" t="str">
        <x:v>AI runtime</x:v>
      </x:c>
      <x:c r="D79" s="81" t="str">
        <x:v>Local Model Runtime</x:v>
      </x:c>
      <x:c r="E79" s="81" t="str">
        <x:v>runtime</x:v>
      </x:c>
      <x:c r="F79" s="81" t="str">
        <x:v>triaged</x:v>
      </x:c>
      <x:c r="G79" s="81" t="str">
        <x:v>bounded evidence</x:v>
      </x:c>
      <x:c r="H79" s="81" t="str">
        <x:v>confirmed project</x:v>
      </x:c>
      <x:c r="I79" s="81" t="str">
        <x:v>P1</x:v>
      </x:c>
      <x:c r="J79" s="81" t="str">
        <x:v>next</x:v>
      </x:c>
      <x:c r="K79" s="81" t="str">
        <x:v>code artifact</x:v>
      </x:c>
      <x:c r="L79" s="81" t="str">
        <x:v>Run selected local models with explicit capability and resource limits.</x:v>
      </x:c>
      <x:c r="M79" s="81" t="str"/>
      <x:c r="N79" s="81" t="str">
        <x:v>Ollama; Qwen3; Mistral-Nemo; other local models</x:v>
      </x:c>
      <x:c r="O79" s="81" t="str">
        <x:v>ST-001</x:v>
      </x:c>
      <x:c r="P79" s="81" t="str">
        <x:v>Current model inventory, benchmarks and routing policy unverified.</x:v>
      </x:c>
      <x:c r="Q79" s="81" t="str">
        <x:v>Inventory installed models and run one bounded capability/latency fixture.</x:v>
      </x:c>
      <x:c r="R79" s="81" t="str">
        <x:v>Resource cost or output quality fails the declared use case.</x:v>
      </x:c>
      <x:c r="S79" s="81" t="str">
        <x:v>No unsafe autonomous action.</x:v>
      </x:c>
    </x:row>
    <x:row r="80" ht="54" customHeight="1">
      <x:c r="A80" s="82" t="str">
        <x:v>ST-004</x:v>
      </x:c>
      <x:c r="B80" s="81" t="str">
        <x:v>Sovereign Toolchain</x:v>
      </x:c>
      <x:c r="C80" s="81" t="str">
        <x:v>Agent runtime</x:v>
      </x:c>
      <x:c r="D80" s="81" t="str">
        <x:v>Hermes Agent / Workspace</x:v>
      </x:c>
      <x:c r="E80" s="81" t="str">
        <x:v>agent system</x:v>
      </x:c>
      <x:c r="F80" s="81" t="str">
        <x:v>triaged</x:v>
      </x:c>
      <x:c r="G80" s="81" t="str">
        <x:v>testable hypothesis</x:v>
      </x:c>
      <x:c r="H80" s="81" t="str">
        <x:v>confirmed project</x:v>
      </x:c>
      <x:c r="I80" s="81" t="str">
        <x:v>P1</x:v>
      </x:c>
      <x:c r="J80" s="81" t="str">
        <x:v>later</x:v>
      </x:c>
      <x:c r="K80" s="81" t="str">
        <x:v>code artifact</x:v>
      </x:c>
      <x:c r="L80" s="81" t="str">
        <x:v>Provide a minimal inspectable agent layer over local tools and context.</x:v>
      </x:c>
      <x:c r="M80" s="81" t="str"/>
      <x:c r="N80" s="81" t="str">
        <x:v>Hermes discussions</x:v>
      </x:c>
      <x:c r="O80" s="81" t="str">
        <x:v>ST-001; KS-003</x:v>
      </x:c>
      <x:c r="P80" s="81" t="str">
        <x:v>Version, workspace schema and permissions unverified.</x:v>
      </x:c>
      <x:c r="Q80" s="81" t="str">
        <x:v>Run one read-only registry query with logged inputs/outputs.</x:v>
      </x:c>
      <x:c r="R80" s="81" t="str">
        <x:v>Cannot constrain filesystem or explain tool use.</x:v>
      </x:c>
      <x:c r="S80" s="81" t="str">
        <x:v>Sandboxed, read-only first.</x:v>
      </x:c>
    </x:row>
    <x:row r="81" ht="54" customHeight="1">
      <x:c r="A81" s="82" t="str">
        <x:v>ST-005</x:v>
      </x:c>
      <x:c r="B81" s="81" t="str">
        <x:v>Sovereign Toolchain</x:v>
      </x:c>
      <x:c r="C81" s="81" t="str">
        <x:v>Agent runtime</x:v>
      </x:c>
      <x:c r="D81" s="81" t="str">
        <x:v>OpenClaw</x:v>
      </x:c>
      <x:c r="E81" s="81" t="str">
        <x:v>agent system</x:v>
      </x:c>
      <x:c r="F81" s="81" t="str">
        <x:v>triaged</x:v>
      </x:c>
      <x:c r="G81" s="81" t="str">
        <x:v>testable hypothesis</x:v>
      </x:c>
      <x:c r="H81" s="81" t="str">
        <x:v>confirmed project</x:v>
      </x:c>
      <x:c r="I81" s="81" t="str">
        <x:v>P2</x:v>
      </x:c>
      <x:c r="J81" s="81" t="str">
        <x:v>later</x:v>
      </x:c>
      <x:c r="K81" s="81" t="str">
        <x:v>code artifact</x:v>
      </x:c>
      <x:c r="L81" s="81" t="str">
        <x:v>Provide self-hosted bounded agent execution behind a sealed interface.</x:v>
      </x:c>
      <x:c r="M81" s="81" t="str"/>
      <x:c r="N81" s="81" t="str">
        <x:v>OpenClaw architecture</x:v>
      </x:c>
      <x:c r="O81" s="81" t="str">
        <x:v>ST-001; ST-007</x:v>
      </x:c>
      <x:c r="P81" s="81" t="str">
        <x:v>Installed state and egress boundary unverified.</x:v>
      </x:c>
      <x:c r="Q81" s="81" t="str">
        <x:v>Verify process user, loopback bind and workspace boundary without changing state.</x:v>
      </x:c>
      <x:c r="R81" s="81" t="str">
        <x:v>Outbound access or privilege exceeds declared design.</x:v>
      </x:c>
      <x:c r="S81" s="81" t="str">
        <x:v>Least privilege; no secret disclosure.</x:v>
      </x:c>
    </x:row>
    <x:row r="82" ht="54" customHeight="1">
      <x:c r="A82" s="82" t="str">
        <x:v>ST-006</x:v>
      </x:c>
      <x:c r="B82" s="81" t="str">
        <x:v>Sovereign Toolchain</x:v>
      </x:c>
      <x:c r="C82" s="81" t="str">
        <x:v>Communications</x:v>
      </x:c>
      <x:c r="D82" s="81" t="str">
        <x:v>Kagemusha / Promise Keeper</x:v>
      </x:c>
      <x:c r="E82" s="81" t="str">
        <x:v>communications system</x:v>
      </x:c>
      <x:c r="F82" s="81" t="str">
        <x:v>triaged</x:v>
      </x:c>
      <x:c r="G82" s="81" t="str">
        <x:v>testable hypothesis</x:v>
      </x:c>
      <x:c r="H82" s="81" t="str">
        <x:v>confirmed project</x:v>
      </x:c>
      <x:c r="I82" s="81" t="str">
        <x:v>P1</x:v>
      </x:c>
      <x:c r="J82" s="81" t="str">
        <x:v>next</x:v>
      </x:c>
      <x:c r="K82" s="81" t="str">
        <x:v>protocol</x:v>
      </x:c>
      <x:c r="L82" s="81" t="str">
        <x:v>Protect promises by extracting commitments, drafting replies and returning consequential action for review.</x:v>
      </x:c>
      <x:c r="M82" s="81" t="str">
        <x:v>APP_ATLAS_V1.md; C11 in CASSETTE_ATLAS_v0.1.md</x:v>
      </x:c>
      <x:c r="N82" s="81" t="str">
        <x:v>Inner Parliament; Promise Keeper</x:v>
      </x:c>
      <x:c r="O82" s="81" t="str">
        <x:v>ST-007; C11</x:v>
      </x:c>
      <x:c r="P82" s="81" t="str">
        <x:v>Recipient model, approval boundary and audit queue not implemented.</x:v>
      </x:c>
      <x:c r="Q82" s="81" t="str">
        <x:v>Create a read-only queue of five commitments with draft/follow-up states.</x:v>
      </x:c>
      <x:c r="R82" s="81" t="str">
        <x:v>It guesses recipients, sends autonomously or increases social debt.</x:v>
      </x:c>
      <x:c r="S82" s="81" t="str">
        <x:v>No impersonation; no autonomous sending.</x:v>
      </x:c>
    </x:row>
    <x:row r="83" ht="54" customHeight="1">
      <x:c r="A83" s="82" t="str">
        <x:v>ST-007</x:v>
      </x:c>
      <x:c r="B83" s="81" t="str">
        <x:v>Sovereign Toolchain</x:v>
      </x:c>
      <x:c r="C83" s="81" t="str">
        <x:v>Communications</x:v>
      </x:c>
      <x:c r="D83" s="81" t="str">
        <x:v>Private Communications Gateway</x:v>
      </x:c>
      <x:c r="E83" s="81" t="str">
        <x:v>communications system</x:v>
      </x:c>
      <x:c r="F83" s="81" t="str">
        <x:v>captured</x:v>
      </x:c>
      <x:c r="G83" s="81" t="str">
        <x:v>testable hypothesis</x:v>
      </x:c>
      <x:c r="H83" s="81" t="str">
        <x:v>confirmed project</x:v>
      </x:c>
      <x:c r="I83" s="81" t="str">
        <x:v>P2</x:v>
      </x:c>
      <x:c r="J83" s="81" t="str">
        <x:v>later</x:v>
      </x:c>
      <x:c r="K83" s="81" t="str">
        <x:v>code artifact</x:v>
      </x:c>
      <x:c r="L83" s="81" t="str">
        <x:v>Route private contact deliberately across Telegram, HTTP, messaging and voice.</x:v>
      </x:c>
      <x:c r="M83" s="81" t="str"/>
      <x:c r="N83" s="81" t="str">
        <x:v>Sovereign Node topology</x:v>
      </x:c>
      <x:c r="O83" s="81" t="str">
        <x:v>ST-001; ST-006</x:v>
      </x:c>
      <x:c r="P83" s="81" t="str">
        <x:v>Transport order, mobile interface and consent model unverified.</x:v>
      </x:c>
      <x:c r="Q83" s="81" t="str">
        <x:v>Specify one local queue and one manual export path before live connectors.</x:v>
      </x:c>
      <x:c r="R83" s="81" t="str">
        <x:v>A transport becomes a hidden dependency or bypasses review.</x:v>
      </x:c>
      <x:c r="S83" s="81" t="str">
        <x:v>Resolve recipients; protect personal data.</x:v>
      </x:c>
    </x:row>
    <x:row r="84" ht="54" customHeight="1">
      <x:c r="A84" s="82" t="str">
        <x:v>ST-008</x:v>
      </x:c>
      <x:c r="B84" s="81" t="str">
        <x:v>Sovereign Toolchain</x:v>
      </x:c>
      <x:c r="C84" s="81" t="str">
        <x:v>Memory</x:v>
      </x:c>
      <x:c r="D84" s="81" t="str">
        <x:v>Memory Tiers and Encrypted Archive</x:v>
      </x:c>
      <x:c r="E84" s="81" t="str">
        <x:v>storage system</x:v>
      </x:c>
      <x:c r="F84" s="81" t="str">
        <x:v>triaged</x:v>
      </x:c>
      <x:c r="G84" s="81" t="str">
        <x:v>bounded evidence</x:v>
      </x:c>
      <x:c r="H84" s="81" t="str">
        <x:v>confirmed project</x:v>
      </x:c>
      <x:c r="I84" s="81" t="str">
        <x:v>P1</x:v>
      </x:c>
      <x:c r="J84" s="81" t="str">
        <x:v>next</x:v>
      </x:c>
      <x:c r="K84" s="81" t="str">
        <x:v>system</x:v>
      </x:c>
      <x:c r="L84" s="81" t="str">
        <x:v>Separate Ephemeral, Working and Canonical memory with documented recovery.</x:v>
      </x:c>
      <x:c r="M84" s="81" t="str">
        <x:v>THE-WORLD-MUST-REMAIN-ANSWERABLE.md</x:v>
      </x:c>
      <x:c r="N84" s="81" t="str">
        <x:v>Sovereign Node; CSOS</x:v>
      </x:c>
      <x:c r="O84" s="81" t="str">
        <x:v>ST-001; KS-003</x:v>
      </x:c>
      <x:c r="P84" s="81" t="str">
        <x:v>Actual directory mapping, encryption and restore drill unresolved.</x:v>
      </x:c>
      <x:c r="Q84" s="81" t="str">
        <x:v>Map three existing artifacts to tiers and test one restore copy.</x:v>
      </x:c>
      <x:c r="R84" s="81" t="str">
        <x:v>Tier boundaries are ambiguous or restore path fails.</x:v>
      </x:c>
      <x:c r="S84" s="81" t="str">
        <x:v>Encrypt sensitive memory; minimize retention.</x:v>
      </x:c>
    </x:row>
    <x:row r="85" ht="54" customHeight="1">
      <x:c r="A85" s="82" t="str">
        <x:v>ST-009</x:v>
      </x:c>
      <x:c r="B85" s="81" t="str">
        <x:v>Sovereign Toolchain</x:v>
      </x:c>
      <x:c r="C85" s="81" t="str">
        <x:v>Federation</x:v>
      </x:c>
      <x:c r="D85" s="81" t="str">
        <x:v>Portable Civilization Pack</x:v>
      </x:c>
      <x:c r="E85" s="81" t="str">
        <x:v>package</x:v>
      </x:c>
      <x:c r="F85" s="81" t="str">
        <x:v>captured</x:v>
      </x:c>
      <x:c r="G85" s="81" t="str">
        <x:v>metaphor</x:v>
      </x:c>
      <x:c r="H85" s="81" t="str">
        <x:v>proposal only</x:v>
      </x:c>
      <x:c r="I85" s="81" t="str">
        <x:v>P3</x:v>
      </x:c>
      <x:c r="J85" s="81" t="str">
        <x:v>later</x:v>
      </x:c>
      <x:c r="K85" s="81" t="str">
        <x:v>system</x:v>
      </x:c>
      <x:c r="L85" s="81" t="str">
        <x:v>Carry a minimal set of laws, tools and sources across environments.</x:v>
      </x:c>
      <x:c r="M85" s="81" t="str"/>
      <x:c r="N85" s="81" t="str">
        <x:v>Living Polity reconstruction; Portable Source Packs</x:v>
      </x:c>
      <x:c r="O85" s="81" t="str">
        <x:v>KS-019; ST-001</x:v>
      </x:c>
      <x:c r="P85" s="81" t="str">
        <x:v>No confirmed pack or minimum set.</x:v>
      </x:c>
      <x:c r="Q85" s="81" t="str">
        <x:v>Define a tiny pack from CONST-001, registry and one runnable tool.</x:v>
      </x:c>
      <x:c r="R85" s="81" t="str">
        <x:v>Package becomes an unbounded archive or branding object.</x:v>
      </x:c>
      <x:c r="S85" s="81" t="str">
        <x:v>No sensitive data by default.</x:v>
      </x:c>
    </x:row>
    <x:row r="86" ht="54" customHeight="1">
      <x:c r="A86" s="82" t="str">
        <x:v>WD-001</x:v>
      </x:c>
      <x:c r="B86" s="81" t="str">
        <x:v>World Deployment</x:v>
      </x:c>
      <x:c r="C86" s="81" t="str">
        <x:v>Cassette system</x:v>
      </x:c>
      <x:c r="D86" s="81" t="str">
        <x:v>Cassette Atlas</x:v>
      </x:c>
      <x:c r="E86" s="81" t="str">
        <x:v>system/atlas</x:v>
      </x:c>
      <x:c r="F86" s="81" t="str">
        <x:v>active</x:v>
      </x:c>
      <x:c r="G86" s="81" t="str">
        <x:v>bounded evidence</x:v>
      </x:c>
      <x:c r="H86" s="81" t="str">
        <x:v>confirmed artifact</x:v>
      </x:c>
      <x:c r="I86" s="81" t="str">
        <x:v>P0</x:v>
      </x:c>
      <x:c r="J86" s="81" t="str">
        <x:v>now</x:v>
      </x:c>
      <x:c r="K86" s="81" t="str">
        <x:v>registry</x:v>
      </x:c>
      <x:c r="L86" s="81" t="str">
        <x:v>Define bounded reloadable modules with manifests, typed ports, fallback and return.</x:v>
      </x:c>
      <x:c r="M86" s="81" t="str">
        <x:v>CASSETTE_ATLAS_v0.1.md; cassette_atlas.csv</x:v>
      </x:c>
      <x:c r="N86" s="81" t="str">
        <x:v>maker cart; fan/scroll/tile discussions</x:v>
      </x:c>
      <x:c r="O86" s="81" t="str">
        <x:v>CONST-001</x:v>
      </x:c>
      <x:c r="P86" s="81" t="str">
        <x:v>Physical prototypes remain mostly untested.</x:v>
      </x:c>
      <x:c r="Q86" s="81" t="str">
        <x:v>Execute C05, C06, C09, C10 and Room Reset first wave.</x:v>
      </x:c>
      <x:c r="R86" s="81" t="str">
        <x:v>Different media require forced implementation merger.</x:v>
      </x:c>
      <x:c r="S86" s="81" t="str">
        <x:v>Manual fallback and safety bounds mandatory.</x:v>
      </x:c>
    </x:row>
    <x:row r="87" ht="54" customHeight="1">
      <x:c r="A87" s="82" t="str">
        <x:v>C01</x:v>
      </x:c>
      <x:c r="B87" s="81" t="str">
        <x:v>World Deployment</x:v>
      </x:c>
      <x:c r="C87" s="81" t="str">
        <x:v>Cassette system</x:v>
      </x:c>
      <x:c r="D87" s="81" t="str">
        <x:v>Context Boot</x:v>
      </x:c>
      <x:c r="E87" s="81" t="str">
        <x:v>cassette</x:v>
      </x:c>
      <x:c r="F87" s="81" t="str">
        <x:v>triaged</x:v>
      </x:c>
      <x:c r="G87" s="81" t="str">
        <x:v>bounded evidence</x:v>
      </x:c>
      <x:c r="H87" s="81" t="str">
        <x:v>confirmed artifact</x:v>
      </x:c>
      <x:c r="I87" s="81" t="str">
        <x:v>P1</x:v>
      </x:c>
      <x:c r="J87" s="81" t="str">
        <x:v>next</x:v>
      </x:c>
      <x:c r="K87" s="81" t="str">
        <x:v>physical cassette</x:v>
      </x:c>
      <x:c r="L87" s="81" t="str">
        <x:v>Restore a project without replaying its whole thread.</x:v>
      </x:c>
      <x:c r="M87" s="81" t="str">
        <x:v>CASSETTE_ATLAS_v0.1.md; cassette_atlas.csv</x:v>
      </x:c>
      <x:c r="N87" s="81" t="str">
        <x:v>Cassette Atlas</x:v>
      </x:c>
      <x:c r="O87" s="81" t="str">
        <x:v>KS-003</x:v>
      </x:c>
      <x:c r="P87" s="81" t="str">
        <x:v>No one-file live test.</x:v>
      </x:c>
      <x:c r="Q87" s="81" t="str">
        <x:v>Build a Markdown boot cassette for SINDERESIS.</x:v>
      </x:c>
      <x:c r="R87" s="81" t="str">
        <x:v>User still needs full thread replay.</x:v>
      </x:c>
      <x:c r="S87" s="81" t="str">
        <x:v>Uncertainty stays marked.</x:v>
      </x:c>
    </x:row>
    <x:row r="88" ht="54" customHeight="1">
      <x:c r="A88" s="82" t="str">
        <x:v>C02</x:v>
      </x:c>
      <x:c r="B88" s="81" t="str">
        <x:v>World Deployment</x:v>
      </x:c>
      <x:c r="C88" s="81" t="str">
        <x:v>Cassette system</x:v>
      </x:c>
      <x:c r="D88" s="81" t="str">
        <x:v>Project State</x:v>
      </x:c>
      <x:c r="E88" s="81" t="str">
        <x:v>cassette</x:v>
      </x:c>
      <x:c r="F88" s="81" t="str">
        <x:v>active</x:v>
      </x:c>
      <x:c r="G88" s="81" t="str">
        <x:v>established</x:v>
      </x:c>
      <x:c r="H88" s="81" t="str">
        <x:v>confirmed artifact</x:v>
      </x:c>
      <x:c r="I88" s="81" t="str">
        <x:v>P0</x:v>
      </x:c>
      <x:c r="J88" s="81" t="str">
        <x:v>now</x:v>
      </x:c>
      <x:c r="K88" s="81" t="str">
        <x:v>registry</x:v>
      </x:c>
      <x:c r="L88" s="81" t="str">
        <x:v>Show source, proposed, tested, rejected, absent and blocked states.</x:v>
      </x:c>
      <x:c r="M88" s="81" t="str">
        <x:v>CASSETTE_ATLAS_v0.1.md; cassette_atlas.csv</x:v>
      </x:c>
      <x:c r="N88" s="81" t="str">
        <x:v>Cassette Atlas</x:v>
      </x:c>
      <x:c r="O88" s="81" t="str">
        <x:v>KS-003</x:v>
      </x:c>
      <x:c r="P88" s="81" t="str">
        <x:v>Gate 1 workbook is first implementation.</x:v>
      </x:c>
      <x:c r="Q88" s="81" t="str">
        <x:v>Use the workbook for one update cycle and record the delta.</x:v>
      </x:c>
      <x:c r="R88" s="81" t="str">
        <x:v>State changes cannot be audited.</x:v>
      </x:c>
      <x:c r="S88" s="81" t="str">
        <x:v>Printed fallback.</x:v>
      </x:c>
    </x:row>
    <x:row r="89" ht="54" customHeight="1">
      <x:c r="A89" s="82" t="str">
        <x:v>C03</x:v>
      </x:c>
      <x:c r="B89" s="81" t="str">
        <x:v>World Deployment</x:v>
      </x:c>
      <x:c r="C89" s="81" t="str">
        <x:v>Cassette system</x:v>
      </x:c>
      <x:c r="D89" s="81" t="str">
        <x:v>Source + Claim Audit</x:v>
      </x:c>
      <x:c r="E89" s="81" t="str">
        <x:v>cassette</x:v>
      </x:c>
      <x:c r="F89" s="81" t="str">
        <x:v>triaged</x:v>
      </x:c>
      <x:c r="G89" s="81" t="str">
        <x:v>established</x:v>
      </x:c>
      <x:c r="H89" s="81" t="str">
        <x:v>confirmed artifact</x:v>
      </x:c>
      <x:c r="I89" s="81" t="str">
        <x:v>P1</x:v>
      </x:c>
      <x:c r="J89" s="81" t="str">
        <x:v>next</x:v>
      </x:c>
      <x:c r="K89" s="81" t="str">
        <x:v>protocol</x:v>
      </x:c>
      <x:c r="L89" s="81" t="str">
        <x:v>Stop synthesis from outrunning evidence.</x:v>
      </x:c>
      <x:c r="M89" s="81" t="str">
        <x:v>CASSETTE_ATLAS_v0.1.md; cassette_atlas.csv</x:v>
      </x:c>
      <x:c r="N89" s="81" t="str">
        <x:v>Cassette Atlas; CSOS</x:v>
      </x:c>
      <x:c r="O89" s="81" t="str">
        <x:v>KS-002</x:v>
      </x:c>
      <x:c r="P89" s="81" t="str">
        <x:v>No compact reusable form.</x:v>
      </x:c>
      <x:c r="Q89" s="81" t="str">
        <x:v>Audit one sustainability claim with support, counterevidence, confidence and falsifier.</x:v>
      </x:c>
      <x:c r="R89" s="81" t="str">
        <x:v>Claim cannot return to direct support.</x:v>
      </x:c>
      <x:c r="S89" s="81" t="str">
        <x:v>No source laundering.</x:v>
      </x:c>
    </x:row>
    <x:row r="90" ht="54" customHeight="1">
      <x:c r="A90" s="82" t="str">
        <x:v>C04</x:v>
      </x:c>
      <x:c r="B90" s="81" t="str">
        <x:v>World Deployment</x:v>
      </x:c>
      <x:c r="C90" s="81" t="str">
        <x:v>Cassette system</x:v>
      </x:c>
      <x:c r="D90" s="81" t="str">
        <x:v>Decision Delta</x:v>
      </x:c>
      <x:c r="E90" s="81" t="str">
        <x:v>cassette</x:v>
      </x:c>
      <x:c r="F90" s="81" t="str">
        <x:v>triaged</x:v>
      </x:c>
      <x:c r="G90" s="81" t="str">
        <x:v>established</x:v>
      </x:c>
      <x:c r="H90" s="81" t="str">
        <x:v>confirmed artifact</x:v>
      </x:c>
      <x:c r="I90" s="81" t="str">
        <x:v>P1</x:v>
      </x:c>
      <x:c r="J90" s="81" t="str">
        <x:v>next</x:v>
      </x:c>
      <x:c r="K90" s="81" t="str">
        <x:v>protocol</x:v>
      </x:c>
      <x:c r="L90" s="81" t="str">
        <x:v>Preserve why a direction changed.</x:v>
      </x:c>
      <x:c r="M90" s="81" t="str">
        <x:v>CASSETTE_ATLAS_v0.1.md; cassette_atlas.csv</x:v>
      </x:c>
      <x:c r="N90" s="81" t="str">
        <x:v>Cassette Atlas</x:v>
      </x:c>
      <x:c r="O90" s="81" t="str">
        <x:v>KS-012</x:v>
      </x:c>
      <x:c r="P90" s="81" t="str">
        <x:v>No standalone delta log template.</x:v>
      </x:c>
      <x:c r="Q90" s="81" t="str">
        <x:v>Record the six-to-seven-program reconciliation.</x:v>
      </x:c>
      <x:c r="R90" s="81" t="str">
        <x:v>Later rationale overwrites original trigger.</x:v>
      </x:c>
      <x:c r="S90" s="81" t="str">
        <x:v>Dated plain-text fallback.</x:v>
      </x:c>
    </x:row>
    <x:row r="91" ht="54" customHeight="1">
      <x:c r="A91" s="82" t="str">
        <x:v>C05</x:v>
      </x:c>
      <x:c r="B91" s="81" t="str">
        <x:v>World Deployment</x:v>
      </x:c>
      <x:c r="C91" s="81" t="str">
        <x:v>Workbench</x:v>
      </x:c>
      <x:c r="D91" s="81" t="str">
        <x:v>Workbench Router</x:v>
      </x:c>
      <x:c r="E91" s="81" t="str">
        <x:v>cassette/system</x:v>
      </x:c>
      <x:c r="F91" s="81" t="str">
        <x:v>staged</x:v>
      </x:c>
      <x:c r="G91" s="81" t="str">
        <x:v>bounded evidence</x:v>
      </x:c>
      <x:c r="H91" s="81" t="str">
        <x:v>confirmed artifact</x:v>
      </x:c>
      <x:c r="I91" s="81" t="str">
        <x:v>P0</x:v>
      </x:c>
      <x:c r="J91" s="81" t="str">
        <x:v>now</x:v>
      </x:c>
      <x:c r="K91" s="81" t="str">
        <x:v>physical cassette</x:v>
      </x:c>
      <x:c r="L91" s="81" t="str">
        <x:v>Move only required tools and state from archive to active bench.</x:v>
      </x:c>
      <x:c r="M91" s="81" t="str">
        <x:v>CASSETTE_ATLAS_v0.1.md; cassette_atlas.csv</x:v>
      </x:c>
      <x:c r="N91" s="81" t="str">
        <x:v>maker cart; portable workbench</x:v>
      </x:c>
      <x:c r="O91" s="81" t="str">
        <x:v>IG-007; WD-017</x:v>
      </x:c>
      <x:c r="P91" s="81" t="str">
        <x:v>Actual pouch/tray and capability manifest untested.</x:v>
      </x:c>
      <x:c r="Q91" s="81" t="str">
        <x:v>Assemble one existing pouch-and-tray for Room Reset or one build.</x:v>
      </x:c>
      <x:c r="R91" s="81" t="str">
        <x:v>Start/reset time does not improve or routing depends on shopping.</x:v>
      </x:c>
      <x:c r="S91" s="81" t="str">
        <x:v>No unsafe tools; manual manifest.</x:v>
      </x:c>
    </x:row>
    <x:row r="92" ht="54" customHeight="1">
      <x:c r="A92" s="82" t="str">
        <x:v>C06</x:v>
      </x:c>
      <x:c r="B92" s="81" t="str">
        <x:v>World Deployment</x:v>
      </x:c>
      <x:c r="C92" s="81" t="str">
        <x:v>Workbench</x:v>
      </x:c>
      <x:c r="D92" s="81" t="str">
        <x:v>Scroll / Reel Carrier</x:v>
      </x:c>
      <x:c r="E92" s="81" t="str">
        <x:v>cassette</x:v>
      </x:c>
      <x:c r="F92" s="81" t="str">
        <x:v>staged</x:v>
      </x:c>
      <x:c r="G92" s="81" t="str">
        <x:v>testable hypothesis</x:v>
      </x:c>
      <x:c r="H92" s="81" t="str">
        <x:v>confirmed artifact</x:v>
      </x:c>
      <x:c r="I92" s="81" t="str">
        <x:v>P1</x:v>
      </x:c>
      <x:c r="J92" s="81" t="str">
        <x:v>next</x:v>
      </x:c>
      <x:c r="K92" s="81" t="str">
        <x:v>physical cassette</x:v>
      </x:c>
      <x:c r="L92" s="81" t="str">
        <x:v>Combine ordered access, compact storage and an unfurled work/display surface.</x:v>
      </x:c>
      <x:c r="M92" s="81" t="str">
        <x:v>CASSETTE_ATLAS_v0.1.md; cassette_atlas.csv</x:v>
      </x:c>
      <x:c r="N92" s="81" t="str">
        <x:v>scroll/reel; fan; maker carry</x:v>
      </x:c>
      <x:c r="O92" s="81" t="str">
        <x:v>C05</x:v>
      </x:c>
      <x:c r="P92" s="81" t="str">
        <x:v>No paper/fabric mockup.</x:v>
      </x:c>
      <x:c r="Q92" s="81" t="str">
        <x:v>Mock one strip with pockets/marks using safe materials.</x:v>
      </x:c>
      <x:c r="R92" s="81" t="str">
        <x:v>Ordered access adds complexity without reducing search/start cost.</x:v>
      </x:c>
      <x:c r="S92" s="81" t="str">
        <x:v>No powered mechanism in first test.</x:v>
      </x:c>
    </x:row>
    <x:row r="93" ht="54" customHeight="1">
      <x:c r="A93" s="82" t="str">
        <x:v>C07</x:v>
      </x:c>
      <x:c r="B93" s="81" t="str">
        <x:v>World Deployment</x:v>
      </x:c>
      <x:c r="C93" s="81" t="str">
        <x:v>Capture</x:v>
      </x:c>
      <x:c r="D93" s="81" t="str">
        <x:v>Capture / Photogrammetry</x:v>
      </x:c>
      <x:c r="E93" s="81" t="str">
        <x:v>cassette</x:v>
      </x:c>
      <x:c r="F93" s="81" t="str">
        <x:v>triaged</x:v>
      </x:c>
      <x:c r="G93" s="81" t="str">
        <x:v>bounded evidence</x:v>
      </x:c>
      <x:c r="H93" s="81" t="str">
        <x:v>confirmed artifact</x:v>
      </x:c>
      <x:c r="I93" s="81" t="str">
        <x:v>P2</x:v>
      </x:c>
      <x:c r="J93" s="81" t="str">
        <x:v>later</x:v>
      </x:c>
      <x:c r="K93" s="81" t="str">
        <x:v>physical cassette</x:v>
      </x:c>
      <x:c r="L93" s="81" t="str">
        <x:v>Make repeatable object capture without rebuilding the setup.</x:v>
      </x:c>
      <x:c r="M93" s="81" t="str">
        <x:v>CASSETTE_ATLAS_v0.1.md; cassette_atlas.csv</x:v>
      </x:c>
      <x:c r="N93" s="81" t="str">
        <x:v>object capture; printer/art projects</x:v>
      </x:c>
      <x:c r="O93" s="81" t="str">
        <x:v>C08</x:v>
      </x:c>
      <x:c r="P93" s="81" t="str">
        <x:v>No named capture fixture.</x:v>
      </x:c>
      <x:c r="Q93" s="81" t="str">
        <x:v>Capture one harmless object with background, scale, shot sequence and metadata.</x:v>
      </x:c>
      <x:c r="R93" s="81" t="str">
        <x:v>Repeat capture cannot match framing/scale sufficiently.</x:v>
      </x:c>
      <x:c r="S93" s="81" t="str">
        <x:v>Respect privacy; no unsafe illumination.</x:v>
      </x:c>
    </x:row>
    <x:row r="94" ht="54" customHeight="1">
      <x:c r="A94" s="82" t="str">
        <x:v>C08</x:v>
      </x:c>
      <x:c r="B94" s="81" t="str">
        <x:v>World Deployment</x:v>
      </x:c>
      <x:c r="C94" s="81" t="str">
        <x:v>Measurement</x:v>
      </x:c>
      <x:c r="D94" s="81" t="str">
        <x:v>Measurement + Calibration</x:v>
      </x:c>
      <x:c r="E94" s="81" t="str">
        <x:v>cassette</x:v>
      </x:c>
      <x:c r="F94" s="81" t="str">
        <x:v>staged</x:v>
      </x:c>
      <x:c r="G94" s="81" t="str">
        <x:v>established</x:v>
      </x:c>
      <x:c r="H94" s="81" t="str">
        <x:v>confirmed artifact</x:v>
      </x:c>
      <x:c r="I94" s="81" t="str">
        <x:v>P0</x:v>
      </x:c>
      <x:c r="J94" s="81" t="str">
        <x:v>next</x:v>
      </x:c>
      <x:c r="K94" s="81" t="str">
        <x:v>physical cassette</x:v>
      </x:c>
      <x:c r="L94" s="81" t="str">
        <x:v>Keep instruments, references, safe ranges and uncertainty together.</x:v>
      </x:c>
      <x:c r="M94" s="81" t="str">
        <x:v>CASSETTE_ATLAS_v0.1.md; cassette_atlas.csv</x:v>
      </x:c>
      <x:c r="N94" s="81" t="str">
        <x:v>maker measurement stack</x:v>
      </x:c>
      <x:c r="O94" s="81" t="str">
        <x:v>WD-020</x:v>
      </x:c>
      <x:c r="P94" s="81" t="str">
        <x:v>Owned instrument manifest and safe ranges not recorded.</x:v>
      </x:c>
      <x:c r="Q94" s="81" t="str">
        <x:v>Inventory meters and references; label safe ranges and uncertainty.</x:v>
      </x:c>
      <x:c r="R94" s="81" t="str">
        <x:v>Reading lacks instrument/range/uncertainty context.</x:v>
      </x:c>
      <x:c r="S94" s="81" t="str">
        <x:v>No mains work; qualified supervision where required.</x:v>
      </x:c>
    </x:row>
    <x:row r="95" ht="54" customHeight="1">
      <x:c r="A95" s="82" t="str">
        <x:v>C11</x:v>
      </x:c>
      <x:c r="B95" s="81" t="str">
        <x:v>Sovereign Toolchain</x:v>
      </x:c>
      <x:c r="C95" s="81" t="str">
        <x:v>Communications</x:v>
      </x:c>
      <x:c r="D95" s="81" t="str">
        <x:v>Promise Keeper Cassette</x:v>
      </x:c>
      <x:c r="E95" s="81" t="str">
        <x:v>cassette</x:v>
      </x:c>
      <x:c r="F95" s="81" t="str">
        <x:v>triaged</x:v>
      </x:c>
      <x:c r="G95" s="81" t="str">
        <x:v>established</x:v>
      </x:c>
      <x:c r="H95" s="81" t="str">
        <x:v>confirmed artifact</x:v>
      </x:c>
      <x:c r="I95" s="81" t="str">
        <x:v>P1</x:v>
      </x:c>
      <x:c r="J95" s="81" t="str">
        <x:v>next</x:v>
      </x:c>
      <x:c r="K95" s="81" t="str">
        <x:v>protocol</x:v>
      </x:c>
      <x:c r="L95" s="81" t="str">
        <x:v>Surface commitments without silently acting.</x:v>
      </x:c>
      <x:c r="M95" s="81" t="str">
        <x:v>CASSETTE_ATLAS_v0.1.md; cassette_atlas.csv</x:v>
      </x:c>
      <x:c r="N95" s="81" t="str">
        <x:v>Kagemusha</x:v>
      </x:c>
      <x:c r="O95" s="81" t="str">
        <x:v>ST-006</x:v>
      </x:c>
      <x:c r="P95" s="81" t="str">
        <x:v>No live read-only queue.</x:v>
      </x:c>
      <x:c r="Q95" s="81" t="str">
        <x:v>Create five promise records with source, dependency, draft and approval gate.</x:v>
      </x:c>
      <x:c r="R95" s="81" t="str">
        <x:v>System sends or guesses without approval.</x:v>
      </x:c>
      <x:c r="S95" s="81" t="str">
        <x:v>No autonomous sending.</x:v>
      </x:c>
    </x:row>
    <x:row r="96" ht="54" customHeight="1">
      <x:c r="A96" s="82" t="str">
        <x:v>C12</x:v>
      </x:c>
      <x:c r="B96" s="81" t="str">
        <x:v>Sovereign Toolchain</x:v>
      </x:c>
      <x:c r="C96" s="81" t="str">
        <x:v>Runtime</x:v>
      </x:c>
      <x:c r="D96" s="81" t="str">
        <x:v>Tool / Skill Bundle</x:v>
      </x:c>
      <x:c r="E96" s="81" t="str">
        <x:v>cassette</x:v>
      </x:c>
      <x:c r="F96" s="81" t="str">
        <x:v>triaged</x:v>
      </x:c>
      <x:c r="G96" s="81" t="str">
        <x:v>bounded evidence</x:v>
      </x:c>
      <x:c r="H96" s="81" t="str">
        <x:v>confirmed artifact</x:v>
      </x:c>
      <x:c r="I96" s="81" t="str">
        <x:v>P2</x:v>
      </x:c>
      <x:c r="J96" s="81" t="str">
        <x:v>later</x:v>
      </x:c>
      <x:c r="K96" s="81" t="str">
        <x:v>protocol</x:v>
      </x:c>
      <x:c r="L96" s="81" t="str">
        <x:v>Load only the capabilities a task needs with safe bounds and stop rules.</x:v>
      </x:c>
      <x:c r="M96" s="81" t="str">
        <x:v>CASSETTE_ATLAS_v0.1.md; cassette_atlas.csv</x:v>
      </x:c>
      <x:c r="N96" s="81" t="str">
        <x:v>agent/runtime tools</x:v>
      </x:c>
      <x:c r="O96" s="81" t="str">
        <x:v>ST-004; ST-005</x:v>
      </x:c>
      <x:c r="P96" s="81" t="str">
        <x:v>Permission contract template missing.</x:v>
      </x:c>
      <x:c r="Q96" s="81" t="str">
        <x:v>Bundle one read-only registry task with explicit tools and stop rule.</x:v>
      </x:c>
      <x:c r="R96" s="81" t="str">
        <x:v>Task requires undeclared tool or authority.</x:v>
      </x:c>
      <x:c r="S96" s="81" t="str">
        <x:v>Least privilege.</x:v>
      </x:c>
    </x:row>
    <x:row r="97" ht="54" customHeight="1">
      <x:c r="A97" s="82" t="str">
        <x:v>C13</x:v>
      </x:c>
      <x:c r="B97" s="81" t="str">
        <x:v>World Deployment</x:v>
      </x:c>
      <x:c r="C97" s="81" t="str">
        <x:v>House OS</x:v>
      </x:c>
      <x:c r="D97" s="81" t="str">
        <x:v>House Zone / Spatial State</x:v>
      </x:c>
      <x:c r="E97" s="81" t="str">
        <x:v>cassette</x:v>
      </x:c>
      <x:c r="F97" s="81" t="str">
        <x:v>triaged</x:v>
      </x:c>
      <x:c r="G97" s="81" t="str">
        <x:v>bounded evidence</x:v>
      </x:c>
      <x:c r="H97" s="81" t="str">
        <x:v>confirmed artifact</x:v>
      </x:c>
      <x:c r="I97" s="81" t="str">
        <x:v>P1</x:v>
      </x:c>
      <x:c r="J97" s="81" t="str">
        <x:v>next</x:v>
      </x:c>
      <x:c r="K97" s="81" t="str">
        <x:v>physical cassette</x:v>
      </x:c>
      <x:c r="L97" s="81" t="str">
        <x:v>Describe what a zone supports and how it changes.</x:v>
      </x:c>
      <x:c r="M97" s="81" t="str">
        <x:v>CASSETTE_ATLAS_v0.1.md; cassette_atlas.csv</x:v>
      </x:c>
      <x:c r="N97" s="81" t="str">
        <x:v>House OS; room cards</x:v>
      </x:c>
      <x:c r="O97" s="81" t="str">
        <x:v>APP-041; IG-007</x:v>
      </x:c>
      <x:c r="P97" s="81" t="str">
        <x:v>No zone card or reset state.</x:v>
      </x:c>
      <x:c r="Q97" s="81" t="str">
        <x:v>Create one manual room card with activity, objects, conditions, controls and reset state.</x:v>
      </x:c>
      <x:c r="R97" s="81" t="str">
        <x:v>Card cannot guide a state change or reset.</x:v>
      </x:c>
      <x:c r="S97" s="81" t="str">
        <x:v>Physical controls remain available.</x:v>
      </x:c>
    </x:row>
    <x:row r="98" ht="54" customHeight="1">
      <x:c r="A98" s="82" t="str">
        <x:v>C14</x:v>
      </x:c>
      <x:c r="B98" s="81" t="str">
        <x:v>Mythic and Poetic Engine</x:v>
      </x:c>
      <x:c r="C98" s="81" t="str">
        <x:v>Creative cassette</x:v>
      </x:c>
      <x:c r="D98" s="81" t="str">
        <x:v>Episode Seed</x:v>
      </x:c>
      <x:c r="E98" s="81" t="str">
        <x:v>cassette</x:v>
      </x:c>
      <x:c r="F98" s="81" t="str">
        <x:v>triaged</x:v>
      </x:c>
      <x:c r="G98" s="81" t="str">
        <x:v>bounded evidence</x:v>
      </x:c>
      <x:c r="H98" s="81" t="str">
        <x:v>confirmed artifact</x:v>
      </x:c>
      <x:c r="I98" s="81" t="str">
        <x:v>P2</x:v>
      </x:c>
      <x:c r="J98" s="81" t="str">
        <x:v>later</x:v>
      </x:c>
      <x:c r="K98" s="81" t="str">
        <x:v>dossier</x:v>
      </x:c>
      <x:c r="L98" s="81" t="str">
        <x:v>Preserve one creative unit while allowing many projections.</x:v>
      </x:c>
      <x:c r="M98" s="81" t="str">
        <x:v>CASSETTE_ATLAS_v0.1.md; cassette_atlas.csv</x:v>
      </x:c>
      <x:c r="N98" s="81" t="str">
        <x:v>Prison Age and other canons</x:v>
      </x:c>
      <x:c r="O98" s="81" t="str">
        <x:v>MP-001</x:v>
      </x:c>
      <x:c r="P98" s="81" t="str">
        <x:v>No live episode seed.</x:v>
      </x:c>
      <x:c r="Q98" s="81" t="str">
        <x:v>Package one Prison Age unit with premise, motifs, status, branches and source envelope.</x:v>
      </x:c>
      <x:c r="R98" s="81" t="str">
        <x:v>Projection loses source status or canon boundary.</x:v>
      </x:c>
      <x:c r="S98" s="81" t="str">
        <x:v>Age-appropriate, non-graphic.</x:v>
      </x:c>
    </x:row>
    <x:row r="99" ht="54" customHeight="1">
      <x:c r="A99" s="82" t="str">
        <x:v>C15</x:v>
      </x:c>
      <x:c r="B99" s="81" t="str">
        <x:v>World Deployment</x:v>
      </x:c>
      <x:c r="C99" s="81" t="str">
        <x:v>App system</x:v>
      </x:c>
      <x:c r="D99" s="81" t="str">
        <x:v>App Foundry Seed</x:v>
      </x:c>
      <x:c r="E99" s="81" t="str">
        <x:v>cassette</x:v>
      </x:c>
      <x:c r="F99" s="81" t="str">
        <x:v>triaged</x:v>
      </x:c>
      <x:c r="G99" s="81" t="str">
        <x:v>bounded evidence</x:v>
      </x:c>
      <x:c r="H99" s="81" t="str">
        <x:v>confirmed artifact</x:v>
      </x:c>
      <x:c r="I99" s="81" t="str">
        <x:v>P1</x:v>
      </x:c>
      <x:c r="J99" s="81" t="str">
        <x:v>next</x:v>
      </x:c>
      <x:c r="K99" s="81" t="str">
        <x:v>registry</x:v>
      </x:c>
      <x:c r="L99" s="81" t="str">
        <x:v>Turn a fleeting app idea into a comparable testable unit.</x:v>
      </x:c>
      <x:c r="M99" s="81" t="str">
        <x:v>CASSETTE_ATLAS_v0.1.md; cassette_atlas.csv</x:v>
      </x:c>
      <x:c r="N99" s="81" t="str">
        <x:v>App Foundry</x:v>
      </x:c>
      <x:c r="O99" s="81" t="str">
        <x:v>APP-000</x:v>
      </x:c>
      <x:c r="P99" s="81" t="str">
        <x:v>No paper-simulation fixture.</x:v>
      </x:c>
      <x:c r="Q99" s="81" t="str">
        <x:v>Record three app ideas with tension, smallest behavior, data, privacy, analogue and rejection test.</x:v>
      </x:c>
      <x:c r="R99" s="81" t="str">
        <x:v>Entries remain noun lists without falsifying experiment.</x:v>
      </x:c>
      <x:c r="S99" s="81" t="str">
        <x:v>Privacy boundary required.</x:v>
      </x:c>
    </x:row>
    <x:row r="100" ht="54" customHeight="1">
      <x:c r="A100" s="82" t="str">
        <x:v>WD-017</x:v>
      </x:c>
      <x:c r="B100" s="81" t="str">
        <x:v>World Deployment</x:v>
      </x:c>
      <x:c r="C100" s="81" t="str">
        <x:v>Workbench</x:v>
      </x:c>
      <x:c r="D100" s="81" t="str">
        <x:v>Maker Cart / Portable Foldable Workbench</x:v>
      </x:c>
      <x:c r="E100" s="81" t="str">
        <x:v>physical system</x:v>
      </x:c>
      <x:c r="F100" s="81" t="str">
        <x:v>active</x:v>
      </x:c>
      <x:c r="G100" s="81" t="str">
        <x:v>testable hypothesis</x:v>
      </x:c>
      <x:c r="H100" s="81" t="str">
        <x:v>confirmed project</x:v>
      </x:c>
      <x:c r="I100" s="81" t="str">
        <x:v>P0</x:v>
      </x:c>
      <x:c r="J100" s="81" t="str">
        <x:v>now</x:v>
      </x:c>
      <x:c r="K100" s="81" t="str">
        <x:v>physical cassette</x:v>
      </x:c>
      <x:c r="L100" s="81" t="str">
        <x:v>Provide compact interoperable staging across tools, projects and rooms.</x:v>
      </x:c>
      <x:c r="M100" s="81" t="str"/>
      <x:c r="N100" s="81" t="str">
        <x:v>maker cart threads; C05</x:v>
      </x:c>
      <x:c r="O100" s="81" t="str">
        <x:v>C05; C08; C10; WD-020</x:v>
      </x:c>
      <x:c r="P100" s="81" t="str">
        <x:v>Physical inventory, dimensions and routing map unverified.</x:v>
      </x:c>
      <x:c r="Q100" s="81" t="str">
        <x:v>Stage one existing carrier for one active field without purchase.</x:v>
      </x:c>
      <x:c r="R100" s="81" t="str">
        <x:v>Setup/reset remains slow or kit cannot move safely.</x:v>
      </x:c>
      <x:c r="S100" s="81" t="str">
        <x:v>Stable loads; no unsafe power work.</x:v>
      </x:c>
    </x:row>
    <x:row r="101" ht="54" customHeight="1">
      <x:c r="A101" s="82" t="str">
        <x:v>APP-041</x:v>
      </x:c>
      <x:c r="B101" s="81" t="str">
        <x:v>World Deployment</x:v>
      </x:c>
      <x:c r="C101" s="81" t="str">
        <x:v>House OS</x:v>
      </x:c>
      <x:c r="D101" s="81" t="str">
        <x:v>Spatial State Engine / House OS</x:v>
      </x:c>
      <x:c r="E101" s="81" t="str">
        <x:v>app/system</x:v>
      </x:c>
      <x:c r="F101" s="81" t="str">
        <x:v>triaged</x:v>
      </x:c>
      <x:c r="G101" s="81" t="str">
        <x:v>testable hypothesis</x:v>
      </x:c>
      <x:c r="H101" s="81" t="str">
        <x:v>confirmed artifact</x:v>
      </x:c>
      <x:c r="I101" s="81" t="str">
        <x:v>P0</x:v>
      </x:c>
      <x:c r="J101" s="81" t="str">
        <x:v>next</x:v>
      </x:c>
      <x:c r="K101" s="81" t="str">
        <x:v>dashboard</x:v>
      </x:c>
      <x:c r="L101" s="81" t="str">
        <x:v>Attach state and action to place, object and transition with graceful manual fallback.</x:v>
      </x:c>
      <x:c r="M101" s="81" t="str">
        <x:v>APP_ATLAS_V1.md; app_atlas_v1.json</x:v>
      </x:c>
      <x:c r="N101" s="81" t="str">
        <x:v>House OS; spatial state</x:v>
      </x:c>
      <x:c r="O101" s="81" t="str">
        <x:v>C13; C10; WD-020</x:v>
      </x:c>
      <x:c r="P101" s="81" t="str">
        <x:v>No 2D room/object graph.</x:v>
      </x:c>
      <x:c r="Q101" s="81" t="str">
        <x:v>Build one manual graph and record three state changes before sensors.</x:v>
      </x:c>
      <x:c r="R101" s="81" t="str">
        <x:v>Sensors are required before the model can be useful.</x:v>
      </x:c>
      <x:c r="S101" s="81" t="str">
        <x:v>Manual controls; privacy-minimizing sensors.</x:v>
      </x:c>
    </x:row>
    <x:row r="102" ht="54" customHeight="1">
      <x:c r="A102" s="82" t="str">
        <x:v>WD-019</x:v>
      </x:c>
      <x:c r="B102" s="81" t="str">
        <x:v>World Deployment</x:v>
      </x:c>
      <x:c r="C102" s="81" t="str">
        <x:v>Spatial build</x:v>
      </x:c>
      <x:c r="D102" s="81" t="str">
        <x:v>Room Systems / Foldable Partition</x:v>
      </x:c>
      <x:c r="E102" s="81" t="str">
        <x:v>physical system</x:v>
      </x:c>
      <x:c r="F102" s="81" t="str">
        <x:v>triaged</x:v>
      </x:c>
      <x:c r="G102" s="81" t="str">
        <x:v>testable hypothesis</x:v>
      </x:c>
      <x:c r="H102" s="81" t="str">
        <x:v>confirmed project</x:v>
      </x:c>
      <x:c r="I102" s="81" t="str">
        <x:v>P1</x:v>
      </x:c>
      <x:c r="J102" s="81" t="str">
        <x:v>next</x:v>
      </x:c>
      <x:c r="K102" s="81" t="str">
        <x:v>physical cassette</x:v>
      </x:c>
      <x:c r="L102" s="81" t="str">
        <x:v>Create attractive reversible room structures that deploy and reset quickly.</x:v>
      </x:c>
      <x:c r="M102" s="81" t="str"/>
      <x:c r="N102" s="81" t="str">
        <x:v>fan partition; slat shelving; foldable wall/mandala</x:v>
      </x:c>
      <x:c r="O102" s="81" t="str">
        <x:v>C09; APP-032; IG-007</x:v>
      </x:c>
      <x:c r="P102" s="81" t="str">
        <x:v>Chosen prototype geometry and safe build method unresolved.</x:v>
      </x:c>
      <x:c r="Q102" s="81" t="str">
        <x:v>Build one low-load paper/card or lightweight mockup within a short session.</x:v>
      </x:c>
      <x:c r="R102" s="81" t="str">
        <x:v>Deployment/reset exceeds available time or structure is unstable.</x:v>
      </x:c>
      <x:c r="S102" s="81" t="str">
        <x:v>No load-bearing use; safe cutting and supervision.</x:v>
      </x:c>
    </x:row>
    <x:row r="103" ht="54" customHeight="1">
      <x:c r="A103" s="82" t="str">
        <x:v>WD-020</x:v>
      </x:c>
      <x:c r="B103" s="81" t="str">
        <x:v>World Deployment</x:v>
      </x:c>
      <x:c r="C103" s="81" t="str">
        <x:v>Measurement</x:v>
      </x:c>
      <x:c r="D103" s="81" t="str">
        <x:v>Sensor and Measurement Stack</x:v>
      </x:c>
      <x:c r="E103" s="81" t="str">
        <x:v>hardware system</x:v>
      </x:c>
      <x:c r="F103" s="81" t="str">
        <x:v>triaged</x:v>
      </x:c>
      <x:c r="G103" s="81" t="str">
        <x:v>bounded evidence</x:v>
      </x:c>
      <x:c r="H103" s="81" t="str">
        <x:v>confirmed project</x:v>
      </x:c>
      <x:c r="I103" s="81" t="str">
        <x:v>P1</x:v>
      </x:c>
      <x:c r="J103" s="81" t="str">
        <x:v>next</x:v>
      </x:c>
      <x:c r="K103" s="81" t="str">
        <x:v>dashboard</x:v>
      </x:c>
      <x:c r="L103" s="81" t="str">
        <x:v>Measure only variables that can change a concrete room or maker decision.</x:v>
      </x:c>
      <x:c r="M103" s="81" t="str"/>
      <x:c r="N103" s="81" t="str">
        <x:v>ESP32; DMM; USB meter; air/light sensors</x:v>
      </x:c>
      <x:c r="O103" s="81" t="str">
        <x:v>C08; APP-041</x:v>
      </x:c>
      <x:c r="P103" s="81" t="str">
        <x:v>Owned inventory and calibration state unverified.</x:v>
      </x:c>
      <x:c r="Q103" s="81" t="str">
        <x:v>Inventory existing sensors and select one decision-linked measurement.</x:v>
      </x:c>
      <x:c r="R103" s="81" t="str">
        <x:v>Data does not alter action or cannot be calibrated.</x:v>
      </x:c>
      <x:c r="S103" s="81" t="str">
        <x:v>No exposed UVC, ozone, mains work or unsafe substances.</x:v>
      </x:c>
    </x:row>
    <x:row r="104" ht="54" customHeight="1">
      <x:c r="A104" s="82" t="str">
        <x:v>WD-021</x:v>
      </x:c>
      <x:c r="B104" s="81" t="str">
        <x:v>World Deployment</x:v>
      </x:c>
      <x:c r="C104" s="81" t="str">
        <x:v>Care automation</x:v>
      </x:c>
      <x:c r="D104" s="81" t="str">
        <x:v>Plant Watering Integration</x:v>
      </x:c>
      <x:c r="E104" s="81" t="str">
        <x:v>physical/automation system</x:v>
      </x:c>
      <x:c r="F104" s="81" t="str">
        <x:v>captured</x:v>
      </x:c>
      <x:c r="G104" s="81" t="str">
        <x:v>testable hypothesis</x:v>
      </x:c>
      <x:c r="H104" s="81" t="str">
        <x:v>confirmed project</x:v>
      </x:c>
      <x:c r="I104" s="81" t="str">
        <x:v>P2</x:v>
      </x:c>
      <x:c r="J104" s="81" t="str">
        <x:v>later</x:v>
      </x:c>
      <x:c r="K104" s="81" t="str">
        <x:v>physical cassette</x:v>
      </x:c>
      <x:c r="L104" s="81" t="str">
        <x:v>Integrate simple plant care with manual operation and observable state.</x:v>
      </x:c>
      <x:c r="M104" s="81" t="str"/>
      <x:c r="N104" s="81" t="str">
        <x:v>maker cart/home threads</x:v>
      </x:c>
      <x:c r="O104" s="81" t="str">
        <x:v>APP-041; WD-020</x:v>
      </x:c>
      <x:c r="P104" s="81" t="str">
        <x:v>Plant list, water needs and hardware unverified.</x:v>
      </x:c>
      <x:c r="Q104" s="81" t="str">
        <x:v>Map one plant and manual watering state before automation.</x:v>
      </x:c>
      <x:c r="R104" s="81" t="str">
        <x:v>Automation adds failure risk without reducing missed care.</x:v>
      </x:c>
      <x:c r="S104" s="81" t="str">
        <x:v>Low-voltage only; protect pets and spills.</x:v>
      </x:c>
    </x:row>
    <x:row r="105" ht="54" customHeight="1">
      <x:c r="A105" s="82" t="str">
        <x:v>APP-000</x:v>
      </x:c>
      <x:c r="B105" s="81" t="str">
        <x:v>World Deployment</x:v>
      </x:c>
      <x:c r="C105" s="81" t="str">
        <x:v>App system</x:v>
      </x:c>
      <x:c r="D105" s="81" t="str">
        <x:v>App Foundry</x:v>
      </x:c>
      <x:c r="E105" s="81" t="str">
        <x:v>app</x:v>
      </x:c>
      <x:c r="F105" s="81" t="str">
        <x:v>triaged</x:v>
      </x:c>
      <x:c r="G105" s="81" t="str">
        <x:v>established</x:v>
      </x:c>
      <x:c r="H105" s="81" t="str">
        <x:v>confirmed artifact</x:v>
      </x:c>
      <x:c r="I105" s="81" t="str">
        <x:v>P0</x:v>
      </x:c>
      <x:c r="J105" s="81" t="str">
        <x:v>next</x:v>
      </x:c>
      <x:c r="K105" s="81" t="str">
        <x:v>app</x:v>
      </x:c>
      <x:c r="L105" s="81" t="str">
        <x:v>Capture an idea once and preserve ancestry through branch, merge, test, build or kill.</x:v>
      </x:c>
      <x:c r="M105" s="81" t="str">
        <x:v>APP_ATLAS_V1.md; app_atlas_v1.json</x:v>
      </x:c>
      <x:c r="N105" s="81" t="str">
        <x:v>App Idea Atlas</x:v>
      </x:c>
      <x:c r="O105" s="81" t="str">
        <x:v>C15; KS-003</x:v>
      </x:c>
      <x:c r="P105" s="81" t="str">
        <x:v>No executable prototype.</x:v>
      </x:c>
      <x:c r="Q105" s="81" t="str">
        <x:v>Use Gate 1 data as seed and implement create/branch/status on three records.</x:v>
      </x:c>
      <x:c r="R105" s="81" t="str">
        <x:v>Lineage is lost or merge silently overwrites variants.</x:v>
      </x:c>
      <x:c r="S105" s="81" t="str">
        <x:v>No unsafe app categories.</x:v>
      </x:c>
    </x:row>
    <x:row r="106" ht="54" customHeight="1">
      <x:c r="A106" s="82" t="str">
        <x:v>APP-002</x:v>
      </x:c>
      <x:c r="B106" s="81" t="str">
        <x:v>World Deployment</x:v>
      </x:c>
      <x:c r="C106" s="81" t="str">
        <x:v>Atlas</x:v>
      </x:c>
      <x:c r="D106" s="81" t="str">
        <x:v>Living Atlas</x:v>
      </x:c>
      <x:c r="E106" s="81" t="str">
        <x:v>app</x:v>
      </x:c>
      <x:c r="F106" s="81" t="str">
        <x:v>triaged</x:v>
      </x:c>
      <x:c r="G106" s="81" t="str">
        <x:v>testable hypothesis</x:v>
      </x:c>
      <x:c r="H106" s="81" t="str">
        <x:v>confirmed artifact</x:v>
      </x:c>
      <x:c r="I106" s="81" t="str">
        <x:v>P1</x:v>
      </x:c>
      <x:c r="J106" s="81" t="str">
        <x:v>later</x:v>
      </x:c>
      <x:c r="K106" s="81" t="str">
        <x:v>dashboard</x:v>
      </x:c>
      <x:c r="L106" s="81" t="str">
        <x:v>Show projects, evidence, decisions, artifacts, branches, gaps and next safe moves.</x:v>
      </x:c>
      <x:c r="M106" s="81" t="str">
        <x:v>APP_ATLAS_V1.md; app_atlas_v1.json</x:v>
      </x:c>
      <x:c r="N106" s="81" t="str">
        <x:v>App Atlas; Master Index</x:v>
      </x:c>
      <x:c r="O106" s="81" t="str">
        <x:v>APP-000; APP-001; KS-003</x:v>
      </x:c>
      <x:c r="P106" s="81" t="str">
        <x:v>Command surface and minimal view unresolved.</x:v>
      </x:c>
      <x:c r="Q106" s="81" t="str">
        <x:v>Render the Gate 1 workbook as one filtered project view.</x:v>
      </x:c>
      <x:c r="R106" s="81" t="str">
        <x:v>Dashboard duplicates spreadsheet without improving navigation.</x:v>
      </x:c>
      <x:c r="S106" s="81" t="str">
        <x:v>Preserve source and uncertainty.</x:v>
      </x:c>
    </x:row>
    <x:row r="107" ht="54" customHeight="1">
      <x:c r="A107" s="82" t="str">
        <x:v>APP-040</x:v>
      </x:c>
      <x:c r="B107" s="81" t="str">
        <x:v>World Deployment</x:v>
      </x:c>
      <x:c r="C107" s="81" t="str">
        <x:v>Creative tool</x:v>
      </x:c>
      <x:c r="D107" s="81" t="str">
        <x:v>Layer It</x:v>
      </x:c>
      <x:c r="E107" s="81" t="str">
        <x:v>app</x:v>
      </x:c>
      <x:c r="F107" s="81" t="str">
        <x:v>triaged</x:v>
      </x:c>
      <x:c r="G107" s="81" t="str">
        <x:v>testable hypothesis</x:v>
      </x:c>
      <x:c r="H107" s="81" t="str">
        <x:v>confirmed artifact</x:v>
      </x:c>
      <x:c r="I107" s="81" t="str">
        <x:v>P1</x:v>
      </x:c>
      <x:c r="J107" s="81" t="str">
        <x:v>later</x:v>
      </x:c>
      <x:c r="K107" s="81" t="str">
        <x:v>app</x:v>
      </x:c>
      <x:c r="L107" s="81" t="str">
        <x:v>Treat a real scene as a persistent composition stack with inherited layers.</x:v>
      </x:c>
      <x:c r="M107" s="81" t="str">
        <x:v>APP_ATLAS_V1.md; app_atlas_v1.json</x:v>
      </x:c>
      <x:c r="N107" s="81" t="str">
        <x:v>layered reality idea</x:v>
      </x:c>
      <x:c r="O107" s="81" t="str">
        <x:v>APP-060</x:v>
      </x:c>
      <x:c r="P107" s="81" t="str">
        <x:v>Smallest external-facing prototype absent.</x:v>
      </x:c>
      <x:c r="Q107" s="81" t="str">
        <x:v>Implement add/mask/compare for one scene with visible layer ancestry.</x:v>
      </x:c>
      <x:c r="R107" s="81" t="str">
        <x:v>Result cannot be replayed or compared.</x:v>
      </x:c>
      <x:c r="S107" s="81" t="str">
        <x:v>Respect image privacy and rights.</x:v>
      </x:c>
    </x:row>
    <x:row r="108" ht="54" customHeight="1">
      <x:c r="A108" s="82" t="str">
        <x:v>APP-060</x:v>
      </x:c>
      <x:c r="B108" s="81" t="str">
        <x:v>World Deployment</x:v>
      </x:c>
      <x:c r="C108" s="81" t="str">
        <x:v>Creative platform</x:v>
      </x:c>
      <x:c r="D108" s="81" t="str">
        <x:v>Chain × Layer It</x:v>
      </x:c>
      <x:c r="E108" s="81" t="str">
        <x:v>app</x:v>
      </x:c>
      <x:c r="F108" s="81" t="str">
        <x:v>triaged</x:v>
      </x:c>
      <x:c r="G108" s="81" t="str">
        <x:v>testable hypothesis</x:v>
      </x:c>
      <x:c r="H108" s="81" t="str">
        <x:v>confirmed artifact</x:v>
      </x:c>
      <x:c r="I108" s="81" t="str">
        <x:v>P2</x:v>
      </x:c>
      <x:c r="J108" s="81" t="str">
        <x:v>later</x:v>
      </x:c>
      <x:c r="K108" s="81" t="str">
        <x:v>app</x:v>
      </x:c>
      <x:c r="L108" s="81" t="str">
        <x:v>Let each remix change exactly one named layer or constraint while preserving ancestry.</x:v>
      </x:c>
      <x:c r="M108" s="81" t="str">
        <x:v>APP_ATLAS_V1.md; app_atlas_v1.json</x:v>
      </x:c>
      <x:c r="N108" s="81" t="str">
        <x:v>Layer It; Chain</x:v>
      </x:c>
      <x:c r="O108" s="81" t="str">
        <x:v>APP-040; APP-000</x:v>
      </x:c>
      <x:c r="P108" s="81" t="str">
        <x:v>Public lineage and remix rules untested.</x:v>
      </x:c>
      <x:c r="Q108" s="81" t="str">
        <x:v>Paper-test three one-layer branches from one composition.</x:v>
      </x:c>
      <x:c r="R108" s="81" t="str">
        <x:v>Branches change undeclared variables or ancestry is ambiguous.</x:v>
      </x:c>
      <x:c r="S108" s="81" t="str">
        <x:v>No deceptive or rights-violating media.</x:v>
      </x:c>
    </x:row>
    <x:row r="109" ht="54" customHeight="1">
      <x:c r="A109" s="82" t="str">
        <x:v>WD-026</x:v>
      </x:c>
      <x:c r="B109" s="81" t="str">
        <x:v>World Deployment</x:v>
      </x:c>
      <x:c r="C109" s="81" t="str">
        <x:v>Atlas projection</x:v>
      </x:c>
      <x:c r="D109" s="81" t="str">
        <x:v>Schematic Labyrinth</x:v>
      </x:c>
      <x:c r="E109" s="81" t="str">
        <x:v>app/visualization</x:v>
      </x:c>
      <x:c r="F109" s="81" t="str">
        <x:v>captured</x:v>
      </x:c>
      <x:c r="G109" s="81" t="str">
        <x:v>testable hypothesis</x:v>
      </x:c>
      <x:c r="H109" s="81" t="str">
        <x:v>confirmed project</x:v>
      </x:c>
      <x:c r="I109" s="81" t="str">
        <x:v>P2</x:v>
      </x:c>
      <x:c r="J109" s="81" t="str">
        <x:v>later</x:v>
      </x:c>
      <x:c r="K109" s="81" t="str">
        <x:v>visual artifact</x:v>
      </x:c>
      <x:c r="L109" s="81" t="str">
        <x:v>Render real project maps without sacrificing source labels.</x:v>
      </x:c>
      <x:c r="M109" s="81" t="str">
        <x:v>APP_ATLAS_V1.md</x:v>
      </x:c>
      <x:c r="N109" s="81" t="str">
        <x:v>App Atlas incubate list</x:v>
      </x:c>
      <x:c r="O109" s="81" t="str">
        <x:v>APP-002; C10</x:v>
      </x:c>
      <x:c r="P109" s="81" t="str">
        <x:v>No source-preserving prototype.</x:v>
      </x:c>
      <x:c r="Q109" s="81" t="str">
        <x:v>Render one Gate 1 dependency subset with readable IDs and labels.</x:v>
      </x:c>
      <x:c r="R109" s="81" t="str">
        <x:v>Visual compression erases source or state.</x:v>
      </x:c>
      <x:c r="S109" s="81" t="str">
        <x:v>No false certainty through layout.</x:v>
      </x:c>
    </x:row>
    <x:row r="110" ht="54" customHeight="1">
      <x:c r="A110" s="82" t="str">
        <x:v>WD-027</x:v>
      </x:c>
      <x:c r="B110" s="81" t="str">
        <x:v>World Deployment</x:v>
      </x:c>
      <x:c r="C110" s="81" t="str">
        <x:v>Measurement app</x:v>
      </x:c>
      <x:c r="D110" s="81" t="str">
        <x:v>Acoustic Twin</x:v>
      </x:c>
      <x:c r="E110" s="81" t="str">
        <x:v>app</x:v>
      </x:c>
      <x:c r="F110" s="81" t="str">
        <x:v>captured</x:v>
      </x:c>
      <x:c r="G110" s="81" t="str">
        <x:v>testable hypothesis</x:v>
      </x:c>
      <x:c r="H110" s="81" t="str">
        <x:v>confirmed project</x:v>
      </x:c>
      <x:c r="I110" s="81" t="str">
        <x:v>P2</x:v>
      </x:c>
      <x:c r="J110" s="81" t="str">
        <x:v>later</x:v>
      </x:c>
      <x:c r="K110" s="81" t="str">
        <x:v>dashboard</x:v>
      </x:c>
      <x:c r="L110" s="81" t="str">
        <x:v>Model acoustic conditions only after measurement reliability is established.</x:v>
      </x:c>
      <x:c r="M110" s="81" t="str">
        <x:v>APP_ATLAS_V1.md</x:v>
      </x:c>
      <x:c r="N110" s="81" t="str">
        <x:v>App Atlas incubate list</x:v>
      </x:c>
      <x:c r="O110" s="81" t="str">
        <x:v>WD-020</x:v>
      </x:c>
      <x:c r="P110" s="81" t="str">
        <x:v>Measurement method and distinct user decision unresolved.</x:v>
      </x:c>
      <x:c r="Q110" s="81" t="str">
        <x:v>Repeat one safe room measurement and estimate reliability.</x:v>
      </x:c>
      <x:c r="R110" s="81" t="str">
        <x:v>Variation exceeds useful signal or normal tools suffice.</x:v>
      </x:c>
      <x:c r="S110" s="81" t="str">
        <x:v>Hearing-safe levels only.</x:v>
      </x:c>
    </x:row>
    <x:row r="111" ht="54" customHeight="1">
      <x:c r="A111" s="82" t="str">
        <x:v>WD-028</x:v>
      </x:c>
      <x:c r="B111" s="81" t="str">
        <x:v>World Deployment</x:v>
      </x:c>
      <x:c r="C111" s="81" t="str">
        <x:v>Repair</x:v>
      </x:c>
      <x:c r="D111" s="81" t="str">
        <x:v>Device Teardown Helper</x:v>
      </x:c>
      <x:c r="E111" s="81" t="str">
        <x:v>app/protocol</x:v>
      </x:c>
      <x:c r="F111" s="81" t="str">
        <x:v>captured</x:v>
      </x:c>
      <x:c r="G111" s="81" t="str">
        <x:v>bounded evidence</x:v>
      </x:c>
      <x:c r="H111" s="81" t="str">
        <x:v>confirmed project</x:v>
      </x:c>
      <x:c r="I111" s="81" t="str">
        <x:v>P3</x:v>
      </x:c>
      <x:c r="J111" s="81" t="str">
        <x:v>later</x:v>
      </x:c>
      <x:c r="K111" s="81" t="str">
        <x:v>protocol</x:v>
      </x:c>
      <x:c r="L111" s="81" t="str">
        <x:v>Document low-risk device inspection and reassembly before adding explanation.</x:v>
      </x:c>
      <x:c r="M111" s="81" t="str">
        <x:v>APP_ATLAS_V1.md</x:v>
      </x:c>
      <x:c r="N111" s="81" t="str">
        <x:v>App Atlas incubate list</x:v>
      </x:c>
      <x:c r="O111" s="81" t="str">
        <x:v>C07; C08</x:v>
      </x:c>
      <x:c r="P111" s="81" t="str">
        <x:v>Safe target and documentation schema unresolved.</x:v>
      </x:c>
      <x:c r="Q111" s="81" t="str">
        <x:v>Test documentation on one non-powered low-risk object.</x:v>
      </x:c>
      <x:c r="R111" s="81" t="str">
        <x:v>Cannot restore object or instructions invite unsafe work.</x:v>
      </x:c>
      <x:c r="S111" s="81" t="str">
        <x:v>No mains, batteries under stress, hazardous components or circumvention.</x:v>
      </x:c>
    </x:row>
    <x:row r="112" ht="54" customHeight="1">
      <x:c r="A112" s="82" t="str">
        <x:v>WD-029</x:v>
      </x:c>
      <x:c r="B112" s="81" t="str">
        <x:v>World Deployment</x:v>
      </x:c>
      <x:c r="C112" s="81" t="str">
        <x:v>House OS</x:v>
      </x:c>
      <x:c r="D112" s="81" t="str">
        <x:v>Renovation App</x:v>
      </x:c>
      <x:c r="E112" s="81" t="str">
        <x:v>app</x:v>
      </x:c>
      <x:c r="F112" s="81" t="str">
        <x:v>superseded</x:v>
      </x:c>
      <x:c r="G112" s="81" t="str">
        <x:v>unknown</x:v>
      </x:c>
      <x:c r="H112" s="81" t="str">
        <x:v>confirmed project</x:v>
      </x:c>
      <x:c r="I112" s="81" t="str">
        <x:v>P3</x:v>
      </x:c>
      <x:c r="J112" s="81" t="str">
        <x:v>hold</x:v>
      </x:c>
      <x:c r="K112" s="81" t="str">
        <x:v>app</x:v>
      </x:c>
      <x:c r="L112" s="81" t="str">
        <x:v>Recover prior renovation specification before deciding separate build.</x:v>
      </x:c>
      <x:c r="M112" s="81" t="str">
        <x:v>APP_ATLAS_V1.md</x:v>
      </x:c>
      <x:c r="N112" s="81" t="str">
        <x:v>old renovation app</x:v>
      </x:c>
      <x:c r="O112" s="81" t="str">
        <x:v>APP-041</x:v>
      </x:c>
      <x:c r="P112" s="81" t="str">
        <x:v>Original spec missing; overlap likely.</x:v>
      </x:c>
      <x:c r="Q112" s="81" t="str">
        <x:v>Recover source and compare with Spatial State Engine.</x:v>
      </x:c>
      <x:c r="R112" s="81" t="str">
        <x:v>No distinct invariant beyond House OS.</x:v>
      </x:c>
      <x:c r="S112" s="81" t="str">
        <x:v>No unsafe building instructions.</x:v>
      </x:c>
    </x:row>
    <x:row r="113" ht="54" customHeight="1">
      <x:c r="A113" s="82" t="str">
        <x:v>WD-030</x:v>
      </x:c>
      <x:c r="B113" s="81" t="str">
        <x:v>World Deployment</x:v>
      </x:c>
      <x:c r="C113" s="81" t="str">
        <x:v>Creative tool</x:v>
      </x:c>
      <x:c r="D113" s="81" t="str">
        <x:v>Return Engine</x:v>
      </x:c>
      <x:c r="E113" s="81" t="str">
        <x:v>app</x:v>
      </x:c>
      <x:c r="F113" s="81" t="str">
        <x:v>captured</x:v>
      </x:c>
      <x:c r="G113" s="81" t="str">
        <x:v>testable hypothesis</x:v>
      </x:c>
      <x:c r="H113" s="81" t="str">
        <x:v>confirmed project</x:v>
      </x:c>
      <x:c r="I113" s="81" t="str">
        <x:v>P2</x:v>
      </x:c>
      <x:c r="J113" s="81" t="str">
        <x:v>later</x:v>
      </x:c>
      <x:c r="K113" s="81" t="str">
        <x:v>visual artifact</x:v>
      </x:c>
      <x:c r="L113" s="81" t="str">
        <x:v>Generate past/present/possible-return views with visible invariants.</x:v>
      </x:c>
      <x:c r="M113" s="81" t="str">
        <x:v>APP_ATLAS_V1.md</x:v>
      </x:c>
      <x:c r="N113" s="81" t="str">
        <x:v>App Atlas incubate list</x:v>
      </x:c>
      <x:c r="O113" s="81" t="str">
        <x:v>APP-001; APP-040</x:v>
      </x:c>
      <x:c r="P113" s="81" t="str">
        <x:v>No fixture or invariant display.</x:v>
      </x:c>
      <x:c r="Q113" s="81" t="str">
        <x:v>Use one harmless object and declare retained/changed features.</x:v>
      </x:c>
      <x:c r="R113" s="81" t="str">
        <x:v>Transformation obscures lineage.</x:v>
      </x:c>
      <x:c r="S113" s="81" t="str">
        <x:v>Respect image rights and privacy.</x:v>
      </x:c>
    </x:row>
    <x:row r="114" ht="54" customHeight="1">
      <x:c r="A114" s="82" t="str">
        <x:v>WD-031</x:v>
      </x:c>
      <x:c r="B114" s="81" t="str">
        <x:v>World Deployment</x:v>
      </x:c>
      <x:c r="C114" s="81" t="str">
        <x:v>Creative tool</x:v>
      </x:c>
      <x:c r="D114" s="81" t="str">
        <x:v>Lawful Remix</x:v>
      </x:c>
      <x:c r="E114" s="81" t="str">
        <x:v>app/mechanic</x:v>
      </x:c>
      <x:c r="F114" s="81" t="str">
        <x:v>captured</x:v>
      </x:c>
      <x:c r="G114" s="81" t="str">
        <x:v>testable hypothesis</x:v>
      </x:c>
      <x:c r="H114" s="81" t="str">
        <x:v>confirmed project</x:v>
      </x:c>
      <x:c r="I114" s="81" t="str">
        <x:v>P2</x:v>
      </x:c>
      <x:c r="J114" s="81" t="str">
        <x:v>later</x:v>
      </x:c>
      <x:c r="K114" s="81" t="str">
        <x:v>protocol</x:v>
      </x:c>
      <x:c r="L114" s="81" t="str">
        <x:v>Compare free prompting with declared-one-rule remixes for replayability.</x:v>
      </x:c>
      <x:c r="M114" s="81" t="str">
        <x:v>APP_ATLAS_V1.md</x:v>
      </x:c>
      <x:c r="N114" s="81" t="str">
        <x:v>App Atlas incubate list</x:v>
      </x:c>
      <x:c r="O114" s="81" t="str">
        <x:v>APP-060</x:v>
      </x:c>
      <x:c r="P114" s="81" t="str">
        <x:v>No comparison experiment.</x:v>
      </x:c>
      <x:c r="Q114" s="81" t="str">
        <x:v>Run a small non-personal visual comparison with fixed inputs.</x:v>
      </x:c>
      <x:c r="R114" s="81" t="str">
        <x:v>Declared rule does not improve consistency or auditability.</x:v>
      </x:c>
      <x:c r="S114" s="81" t="str">
        <x:v>No copyrighted style imitation.</x:v>
      </x:c>
    </x:row>
    <x:row r="115" ht="54" customHeight="1">
      <x:c r="A115" s="82" t="str">
        <x:v>WD-032</x:v>
      </x:c>
      <x:c r="B115" s="81" t="str">
        <x:v>World Deployment</x:v>
      </x:c>
      <x:c r="C115" s="81" t="str">
        <x:v>Institution</x:v>
      </x:c>
      <x:c r="D115" s="81" t="str">
        <x:v>Open Air Forge OS / Future Firm</x:v>
      </x:c>
      <x:c r="E115" s="81" t="str">
        <x:v>institution system</x:v>
      </x:c>
      <x:c r="F115" s="81" t="str">
        <x:v>triaged</x:v>
      </x:c>
      <x:c r="G115" s="81" t="str">
        <x:v>testable hypothesis</x:v>
      </x:c>
      <x:c r="H115" s="81" t="str">
        <x:v>confirmed project</x:v>
      </x:c>
      <x:c r="I115" s="81" t="str">
        <x:v>P1</x:v>
      </x:c>
      <x:c r="J115" s="81" t="str">
        <x:v>next</x:v>
      </x:c>
      <x:c r="K115" s="81" t="str">
        <x:v>system</x:v>
      </x:c>
      <x:c r="L115" s="81" t="str">
        <x:v>Turn archive, docket, cassette, field and institution into a small-firm operating rhythm.</x:v>
      </x:c>
      <x:c r="M115" s="81" t="str"/>
      <x:c r="N115" s="81" t="str">
        <x:v>Open Air Forge OS v0.1; firm/umbrella discussions</x:v>
      </x:c>
      <x:c r="O115" s="81" t="str">
        <x:v>KS-003; WD-001; APP-000</x:v>
      </x:c>
      <x:c r="P115" s="81" t="str">
        <x:v>Ownership, value proposition and first external service unresolved.</x:v>
      </x:c>
      <x:c r="Q115" s="81" t="str">
        <x:v>Run one internal project through full lifecycle and publish the proof ledger.</x:v>
      </x:c>
      <x:c r="R115" s="81" t="str">
        <x:v>System increases administrative load without shipping usable work.</x:v>
      </x:c>
      <x:c r="S115" s="81" t="str">
        <x:v>No deceptive branding or hidden labor.</x:v>
      </x:c>
    </x:row>
    <x:row r="116" ht="54" customHeight="1">
      <x:c r="A116" s="82" t="str">
        <x:v>WD-033</x:v>
      </x:c>
      <x:c r="B116" s="81" t="str">
        <x:v>World Deployment</x:v>
      </x:c>
      <x:c r="C116" s="81" t="str">
        <x:v>Motion platform</x:v>
      </x:c>
      <x:c r="D116" s="81" t="str">
        <x:v>Roller / Scroller XY Platform</x:v>
      </x:c>
      <x:c r="E116" s="81" t="str">
        <x:v>physical system</x:v>
      </x:c>
      <x:c r="F116" s="81" t="str">
        <x:v>captured</x:v>
      </x:c>
      <x:c r="G116" s="81" t="str">
        <x:v>testable hypothesis</x:v>
      </x:c>
      <x:c r="H116" s="81" t="str">
        <x:v>confirmed project</x:v>
      </x:c>
      <x:c r="I116" s="81" t="str">
        <x:v>P3</x:v>
      </x:c>
      <x:c r="J116" s="81" t="str">
        <x:v>later</x:v>
      </x:c>
      <x:c r="K116" s="81" t="str">
        <x:v>physical cassette</x:v>
      </x:c>
      <x:c r="L116" s="81" t="str">
        <x:v>Explore compact ordered motion shared by scroll, plotter and display projects.</x:v>
      </x:c>
      <x:c r="M116" s="81" t="str"/>
      <x:c r="N116" s="81" t="str">
        <x:v>maker threads; stepper inventory</x:v>
      </x:c>
      <x:c r="O116" s="81" t="str">
        <x:v>C06; WD-034</x:v>
      </x:c>
      <x:c r="P116" s="81" t="str">
        <x:v>Mechanism choice and safe low-force prototype unresolved.</x:v>
      </x:c>
      <x:c r="Q116" s="81" t="str">
        <x:v>Sketch or simulate one low-force paper-feed mechanism.</x:v>
      </x:c>
      <x:c r="R116" s="81" t="str">
        <x:v>No shared mechanism survives requirement comparison.</x:v>
      </x:c>
      <x:c r="S116" s="81" t="str">
        <x:v>No high-force or hazardous build instructions.</x:v>
      </x:c>
    </x:row>
    <x:row r="117" ht="54" customHeight="1">
      <x:c r="A117" s="82" t="str">
        <x:v>WD-034</x:v>
      </x:c>
      <x:c r="B117" s="81" t="str">
        <x:v>World Deployment</x:v>
      </x:c>
      <x:c r="C117" s="81" t="str">
        <x:v>Motion platform</x:v>
      </x:c>
      <x:c r="D117" s="81" t="str">
        <x:v>Plotter / CNC / Wall Printer Family</x:v>
      </x:c>
      <x:c r="E117" s="81" t="str">
        <x:v>physical system</x:v>
      </x:c>
      <x:c r="F117" s="81" t="str">
        <x:v>captured</x:v>
      </x:c>
      <x:c r="G117" s="81" t="str">
        <x:v>testable hypothesis</x:v>
      </x:c>
      <x:c r="H117" s="81" t="str">
        <x:v>confirmed project</x:v>
      </x:c>
      <x:c r="I117" s="81" t="str">
        <x:v>P3</x:v>
      </x:c>
      <x:c r="J117" s="81" t="str">
        <x:v>later</x:v>
      </x:c>
      <x:c r="K117" s="81" t="str">
        <x:v>physical cassette</x:v>
      </x:c>
      <x:c r="L117" s="81" t="str">
        <x:v>Recover common motion/control infrastructure across marking tools.</x:v>
      </x:c>
      <x:c r="M117" s="81" t="str"/>
      <x:c r="N117" s="81" t="str">
        <x:v>ESP32; steppers; DRV8825; plotter ideas</x:v>
      </x:c>
      <x:c r="O117" s="81" t="str">
        <x:v>WD-033; WD-020</x:v>
      </x:c>
      <x:c r="P117" s="81" t="str">
        <x:v>Scope, safety and smallest marker-only prototype unresolved.</x:v>
      </x:c>
      <x:c r="Q117" s="81" t="str">
        <x:v>Define a pen-only low-force fixture and required axes.</x:v>
      </x:c>
      <x:c r="R117" s="81" t="str">
        <x:v>Shared platform adds complexity over a simple plotter.</x:v>
      </x:c>
      <x:c r="S117" s="81" t="str">
        <x:v>No cutting, high-power or hazardous operation.</x:v>
      </x:c>
    </x:row>
    <x:row r="118" ht="54" customHeight="1">
      <x:c r="A118" s="82" t="str">
        <x:v>WD-035</x:v>
      </x:c>
      <x:c r="B118" s="81" t="str">
        <x:v>World Deployment</x:v>
      </x:c>
      <x:c r="C118" s="81" t="str">
        <x:v>Robotics</x:v>
      </x:c>
      <x:c r="D118" s="81" t="str">
        <x:v>Floor Drawing Bot / Rover</x:v>
      </x:c>
      <x:c r="E118" s="81" t="str">
        <x:v>physical system</x:v>
      </x:c>
      <x:c r="F118" s="81" t="str">
        <x:v>captured</x:v>
      </x:c>
      <x:c r="G118" s="81" t="str">
        <x:v>testable hypothesis</x:v>
      </x:c>
      <x:c r="H118" s="81" t="str">
        <x:v>confirmed project</x:v>
      </x:c>
      <x:c r="I118" s="81" t="str">
        <x:v>P3</x:v>
      </x:c>
      <x:c r="J118" s="81" t="str">
        <x:v>later</x:v>
      </x:c>
      <x:c r="K118" s="81" t="str">
        <x:v>physical cassette</x:v>
      </x:c>
      <x:c r="L118" s="81" t="str">
        <x:v>Use mobile marking as a low-risk embodiment of geometry and control.</x:v>
      </x:c>
      <x:c r="M118" s="81" t="str"/>
      <x:c r="N118" s="81" t="str">
        <x:v>rover; OpenBot; drawing bot</x:v>
      </x:c>
      <x:c r="O118" s="81" t="str">
        <x:v>WD-020; SL-012</x:v>
      </x:c>
      <x:c r="P118" s="81" t="str">
        <x:v>Chassis and safe marker-only scope unresolved.</x:v>
      </x:c>
      <x:c r="Q118" s="81" t="str">
        <x:v>Paper-simulate path/control or use a stationary pen fixture first.</x:v>
      </x:c>
      <x:c r="R118" s="81" t="str">
        <x:v>Mobility adds no value to the drawing/control test.</x:v>
      </x:c>
      <x:c r="S118" s="81" t="str">
        <x:v>No road use or hazardous attachments.</x:v>
      </x:c>
    </x:row>
    <x:row r="119" ht="54" customHeight="1">
      <x:c r="A119" s="82" t="str">
        <x:v>WD-036</x:v>
      </x:c>
      <x:c r="B119" s="81" t="str">
        <x:v>World Deployment</x:v>
      </x:c>
      <x:c r="C119" s="81" t="str">
        <x:v>Mechanism</x:v>
      </x:c>
      <x:c r="D119" s="81" t="str">
        <x:v>Wire Bender</x:v>
      </x:c>
      <x:c r="E119" s="81" t="str">
        <x:v>physical system</x:v>
      </x:c>
      <x:c r="F119" s="81" t="str">
        <x:v>captured</x:v>
      </x:c>
      <x:c r="G119" s="81" t="str">
        <x:v>testable hypothesis</x:v>
      </x:c>
      <x:c r="H119" s="81" t="str">
        <x:v>confirmed project</x:v>
      </x:c>
      <x:c r="I119" s="81" t="str">
        <x:v>P3</x:v>
      </x:c>
      <x:c r="J119" s="81" t="str">
        <x:v>hold</x:v>
      </x:c>
      <x:c r="K119" s="81" t="str">
        <x:v>physical cassette</x:v>
      </x:c>
      <x:c r="L119" s="81" t="str">
        <x:v>Explore programmable shaping as a possible fabrication primitive.</x:v>
      </x:c>
      <x:c r="M119" s="81" t="str"/>
      <x:c r="N119" s="81" t="str">
        <x:v>maker threads</x:v>
      </x:c>
      <x:c r="O119" s="81" t="str">
        <x:v>C08; C09</x:v>
      </x:c>
      <x:c r="P119" s="81" t="str">
        <x:v>Risk, material and use case not bounded.</x:v>
      </x:c>
      <x:c r="Q119" s="81" t="str">
        <x:v>Keep on hold until a low-risk material and supervised method are defined.</x:v>
      </x:c>
      <x:c r="R119" s="81" t="str">
        <x:v>Use case remains speculative or requires hazardous forces/tools.</x:v>
      </x:c>
      <x:c r="S119" s="81" t="str">
        <x:v>No construction guidance in this registry.</x:v>
      </x:c>
    </x:row>
    <x:row r="120" ht="54" customHeight="1">
      <x:c r="A120" s="82" t="str">
        <x:v>WD-037</x:v>
      </x:c>
      <x:c r="B120" s="81" t="str">
        <x:v>World Deployment</x:v>
      </x:c>
      <x:c r="C120" s="81" t="str">
        <x:v>Field network</x:v>
      </x:c>
      <x:c r="D120" s="81" t="str">
        <x:v>LoRa / Meshtastic Field Node</x:v>
      </x:c>
      <x:c r="E120" s="81" t="str">
        <x:v>hardware/network</x:v>
      </x:c>
      <x:c r="F120" s="81" t="str">
        <x:v>captured</x:v>
      </x:c>
      <x:c r="G120" s="81" t="str">
        <x:v>bounded evidence</x:v>
      </x:c>
      <x:c r="H120" s="81" t="str">
        <x:v>confirmed project</x:v>
      </x:c>
      <x:c r="I120" s="81" t="str">
        <x:v>P3</x:v>
      </x:c>
      <x:c r="J120" s="81" t="str">
        <x:v>later</x:v>
      </x:c>
      <x:c r="K120" s="81" t="str">
        <x:v>code artifact</x:v>
      </x:c>
      <x:c r="L120" s="81" t="str">
        <x:v>Provide low-bandwidth local field communication and sensing experiments.</x:v>
      </x:c>
      <x:c r="M120" s="81" t="str"/>
      <x:c r="N120" s="81" t="str">
        <x:v>Heltec/Meshtastic discussions</x:v>
      </x:c>
      <x:c r="O120" s="81" t="str">
        <x:v>ST-001; WD-020</x:v>
      </x:c>
      <x:c r="P120" s="81" t="str">
        <x:v>Actual hardware, legal configuration and use case unverified.</x:v>
      </x:c>
      <x:c r="Q120" s="81" t="str">
        <x:v>Inventory owned hardware and define one lawful receive-only/local test.</x:v>
      </x:c>
      <x:c r="R120" s="81" t="str">
        <x:v>No decision-relevant use or regulatory uncertainty remains.</x:v>
      </x:c>
      <x:c r="S120" s="81" t="str">
        <x:v>Follow local radio rules; no covert use.</x:v>
      </x:c>
    </x:row>
    <x:row r="121" ht="54" customHeight="1">
      <x:c r="A121" s="82" t="str">
        <x:v>WD-038</x:v>
      </x:c>
      <x:c r="B121" s="81" t="str">
        <x:v>World Deployment</x:v>
      </x:c>
      <x:c r="C121" s="81" t="str">
        <x:v>Procurement</x:v>
      </x:c>
      <x:c r="D121" s="81" t="str">
        <x:v>Maker Cart Procurement and Price Registry</x:v>
      </x:c>
      <x:c r="E121" s="81" t="str">
        <x:v>registry</x:v>
      </x:c>
      <x:c r="F121" s="81" t="str">
        <x:v>triaged</x:v>
      </x:c>
      <x:c r="G121" s="81" t="str">
        <x:v>established</x:v>
      </x:c>
      <x:c r="H121" s="81" t="str">
        <x:v>confirmed project</x:v>
      </x:c>
      <x:c r="I121" s="81" t="str">
        <x:v>P2</x:v>
      </x:c>
      <x:c r="J121" s="81" t="str">
        <x:v>next</x:v>
      </x:c>
      <x:c r="K121" s="81" t="str">
        <x:v>registry</x:v>
      </x:c>
      <x:c r="L121" s="81" t="str">
        <x:v>Compare owned inventory and local/second-hand sources behind explicit purchase gates.</x:v>
      </x:c>
      <x:c r="M121" s="81" t="str"/>
      <x:c r="N121" s="81" t="str">
        <x:v>Maker Cart Expansion</x:v>
      </x:c>
      <x:c r="O121" s="81" t="str">
        <x:v>C05; C08; KS-003</x:v>
      </x:c>
      <x:c r="P121" s="81" t="str">
        <x:v>Owned inventory and current prices not consolidated.</x:v>
      </x:c>
      <x:c r="Q121" s="81" t="str">
        <x:v>Create owned/needed/blocked rows before any shopping.</x:v>
      </x:c>
      <x:c r="R121" s="81" t="str">
        <x:v>Registry drives accumulation rather than capability gaps.</x:v>
      </x:c>
      <x:c r="S121" s="81" t="str">
        <x:v>No age-restricted, dangerous or unsafe items.</x:v>
      </x:c>
    </x:row>
  </x:sheetData>
  <x:mergeCells>
    <x:mergeCell ref="A1:S1"/>
    <x:mergeCell ref="A2:S2"/>
  </x:mergeCells>
  <x:conditionalFormatting sqref="F5:F121">
    <x:cfRule type="containsText" dxfId="0" priority="1" operator="containsText" text="active"/>
    <x:cfRule type="containsText" dxfId="1" priority="2" operator="containsText" text="canonical"/>
    <x:cfRule type="containsText" dxfId="2" priority="3" operator="containsText" text="superseded"/>
  </x:conditionalFormatting>
  <x:conditionalFormatting sqref="I5:I121">
    <x:cfRule type="containsText" dxfId="3" priority="4" operator="containsText" text="P0"/>
    <x:cfRule type="containsText" dxfId="4" priority="5" operator="containsText" text="P1"/>
  </x:conditionalFormatting>
  <x:dataValidations count="5">
    <x:dataValidation type="list" sqref="F5:F121">
      <x:formula1>"captured,triaged,staged,active,cooling down,reset,canonical,superseded,retired"</x:formula1>
    </x:dataValidation>
    <x:dataValidation type="list" sqref="G5:G121">
      <x:formula1>"established,bounded evidence,testable hypothesis,adjacent-domain analogy,metaphor,unknown"</x:formula1>
    </x:dataValidation>
    <x:dataValidation type="list" sqref="H5:H121">
      <x:formula1>"confirmed artifact,confirmed project,proposal only,unresolved"</x:formula1>
    </x:dataValidation>
    <x:dataValidation type="list" sqref="I5:I121">
      <x:formula1>"P0,P1,P2,P3,hold"</x:formula1>
    </x:dataValidation>
    <x:dataValidation type="list" sqref="J5:J121">
      <x:formula1>"now,next,later,hold"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fbbf5ac0f47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20" hidden="0" customWidth="1"/>
    <x:col min="5" max="5" width="15" hidden="0" customWidth="1"/>
    <x:col min="6" max="6" width="20" hidden="0" customWidth="1"/>
    <x:col min="7" max="7" width="14" hidden="0" customWidth="1"/>
    <x:col min="8" max="8" width="12" hidden="0" customWidth="1"/>
    <x:col min="9" max="9" width="52" hidden="0" customWidth="1"/>
    <x:col min="10" max="10" width="13" hidden="0" customWidth="1"/>
    <x:col min="11" max="11" width="42" hidden="0" customWidth="1"/>
    <x:col min="12" max="12" width="34" hidden="0" customWidth="1"/>
    <x:col min="13" max="13" width="34" hidden="0" customWidth="1"/>
    <x:col min="14" max="14" width="30" hidden="0" customWidth="1"/>
    <x:col min="15" max="15" width="28" hidden="0" customWidth="1"/>
    <x:col min="16" max="16" width="38" hidden="0" customWidth="1"/>
    <x:col min="17" max="17" width="42" hidden="0" customWidth="1"/>
  </x:cols>
  <x:sheetData>
    <x:row r="1">
      <x:c r="A1" s="83" t="str">
        <x:v>ARTIFACT REGISTRY · 37 CONFIRMED + PLANNED OBJECTS</x:v>
      </x:c>
      <x:c r="B1" s="83" t="str">
        <x:v>ARTIFACT REGISTRY · 37 CONFIRMED + PLANNED OBJECTS</x:v>
      </x:c>
      <x:c r="C1" s="83" t="str">
        <x:v>ARTIFACT REGISTRY · 37 CONFIRMED + PLANNED OBJECTS</x:v>
      </x:c>
      <x:c r="D1" s="83" t="str">
        <x:v>ARTIFACT REGISTRY · 37 CONFIRMED + PLANNED OBJECTS</x:v>
      </x:c>
      <x:c r="E1" s="83" t="str">
        <x:v>ARTIFACT REGISTRY · 37 CONFIRMED + PLANNED OBJECTS</x:v>
      </x:c>
      <x:c r="F1" s="83" t="str">
        <x:v>ARTIFACT REGISTRY · 37 CONFIRMED + PLANNED OBJECTS</x:v>
      </x:c>
      <x:c r="G1" s="83" t="str">
        <x:v>ARTIFACT REGISTRY · 37 CONFIRMED + PLANNED OBJECTS</x:v>
      </x:c>
      <x:c r="H1" s="83" t="str">
        <x:v>ARTIFACT REGISTRY · 37 CONFIRMED + PLANNED OBJECTS</x:v>
      </x:c>
      <x:c r="I1" s="83" t="str">
        <x:v>ARTIFACT REGISTRY · 37 CONFIRMED + PLANNED OBJECTS</x:v>
      </x:c>
      <x:c r="J1" s="83" t="str">
        <x:v>ARTIFACT REGISTRY · 37 CONFIRMED + PLANNED OBJECTS</x:v>
      </x:c>
      <x:c r="K1" s="83" t="str">
        <x:v>ARTIFACT REGISTRY · 37 CONFIRMED + PLANNED OBJECTS</x:v>
      </x:c>
      <x:c r="L1" s="83" t="str">
        <x:v>ARTIFACT REGISTRY · 37 CONFIRMED + PLANNED OBJECTS</x:v>
      </x:c>
      <x:c r="M1" s="83" t="str">
        <x:v>ARTIFACT REGISTRY · 37 CONFIRMED + PLANNED OBJECTS</x:v>
      </x:c>
      <x:c r="N1" s="83" t="str">
        <x:v>ARTIFACT REGISTRY · 37 CONFIRMED + PLANNED OBJECTS</x:v>
      </x:c>
      <x:c r="O1" s="83" t="str">
        <x:v>ARTIFACT REGISTRY · 37 CONFIRMED + PLANNED OBJECTS</x:v>
      </x:c>
      <x:c r="P1" s="83" t="str">
        <x:v>ARTIFACT REGISTRY · 37 CONFIRMED + PLANNED OBJECTS</x:v>
      </x:c>
      <x:c r="Q1" s="83" t="str">
        <x:v>ARTIFACT REGISTRY · 37 CONFIRMED + PLANNED OBJECTS</x:v>
      </x:c>
    </x:row>
    <x:row r="2">
      <x:c r="A2" s="5" t="str">
        <x:v>A file path confirms existence, not truth. Planned artifacts remain explicit proposals.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 ht="36" customHeight="1">
      <x:c r="A4" s="84" t="str">
        <x:v>Artifact ID</x:v>
      </x:c>
      <x:c r="B4" s="84" t="str">
        <x:v>Project ID</x:v>
      </x:c>
      <x:c r="C4" s="84" t="str">
        <x:v>Artifact Name</x:v>
      </x:c>
      <x:c r="D4" s="84" t="str">
        <x:v>Artifact Class</x:v>
      </x:c>
      <x:c r="E4" s="84" t="str">
        <x:v>State</x:v>
      </x:c>
      <x:c r="F4" s="84" t="str">
        <x:v>Confirmation</x:v>
      </x:c>
      <x:c r="G4" s="84" t="str">
        <x:v>Memory Tier</x:v>
      </x:c>
      <x:c r="H4" s="84" t="str">
        <x:v>Variant Of</x:v>
      </x:c>
      <x:c r="I4" s="84" t="str">
        <x:v>Library Path / Source URL</x:v>
      </x:c>
      <x:c r="J4" s="84" t="str">
        <x:v>File Type</x:v>
      </x:c>
      <x:c r="K4" s="84" t="str">
        <x:v>Provenance / Lineage</x:v>
      </x:c>
      <x:c r="L4" s="84" t="str">
        <x:v>Inputs</x:v>
      </x:c>
      <x:c r="M4" s="84" t="str">
        <x:v>Outputs</x:v>
      </x:c>
      <x:c r="N4" s="84" t="str">
        <x:v>Ports / Interface</x:v>
      </x:c>
      <x:c r="O4" s="84" t="str">
        <x:v>Fallback</x:v>
      </x:c>
      <x:c r="P4" s="84" t="str">
        <x:v>Missingness</x:v>
      </x:c>
      <x:c r="Q4" s="84" t="str">
        <x:v>Next Test / Return</x:v>
      </x:c>
    </x:row>
    <x:row r="5" ht="52" customHeight="1">
      <x:c r="A5" s="82" t="str">
        <x:v>ART-001</x:v>
      </x:c>
      <x:c r="B5" s="82" t="str">
        <x:v>CONST-001</x:v>
      </x:c>
      <x:c r="C5" s="81" t="str">
        <x:v>THE-WORLD-MUST-REMAIN-ANSWERABLE.md</x:v>
      </x:c>
      <x:c r="D5" s="81" t="str">
        <x:v>constitution</x:v>
      </x:c>
      <x:c r="E5" s="81" t="str">
        <x:v>active</x:v>
      </x:c>
      <x:c r="F5" s="81" t="str">
        <x:v>confirmed artifact</x:v>
      </x:c>
      <x:c r="G5" s="81" t="str">
        <x:v>Canonical</x:v>
      </x:c>
      <x:c r="H5" s="81" t="str"/>
      <x:c r="I5" s="81" t="str">
        <x:v>Library:/THE-WORLD-MUST-REMAIN-ANSWERABLE.md</x:v>
      </x:c>
      <x:c r="J5" s="81" t="str">
        <x:v>Markdown</x:v>
      </x:c>
      <x:c r="K5" s="81" t="str">
        <x:v>Created from SA brief plus recovered federation threads.</x:v>
      </x:c>
      <x:c r="L5" s="81" t="str">
        <x:v>SA brief; continuity recovery</x:v>
      </x:c>
      <x:c r="M5" s="81" t="str">
        <x:v>Constitution; gates; object contract</x:v>
      </x:c>
      <x:c r="N5" s="81" t="str">
        <x:v>All provinces</x:v>
      </x:c>
      <x:c r="O5" s="81" t="str">
        <x:v>Plain Markdown</x:v>
      </x:c>
      <x:c r="P5" s="81" t="str">
        <x:v>Incomplete archive coverage.</x:v>
      </x:c>
      <x:c r="Q5" s="81" t="str">
        <x:v>Supersede only with lineage and increased maneuverability.</x:v>
      </x:c>
    </x:row>
    <x:row r="6" ht="52" customHeight="1">
      <x:c r="A6" s="82" t="str">
        <x:v>ART-002</x:v>
      </x:c>
      <x:c r="B6" s="82" t="str">
        <x:v>KS-022</x:v>
      </x:c>
      <x:c r="C6" s="81" t="str">
        <x:v>SA-Sustainability-Biomimesis-Working-Brief.md</x:v>
      </x:c>
      <x:c r="D6" s="81" t="str">
        <x:v>dossier</x:v>
      </x:c>
      <x:c r="E6" s="81" t="str">
        <x:v>active</x:v>
      </x:c>
      <x:c r="F6" s="81" t="str">
        <x:v>confirmed artifact</x:v>
      </x:c>
      <x:c r="G6" s="81" t="str">
        <x:v>Working</x:v>
      </x:c>
      <x:c r="H6" s="81" t="str"/>
      <x:c r="I6" s="81" t="str">
        <x:v>Library:/SA-Sustainability-Biomimesis-Working-Brief.md</x:v>
      </x:c>
      <x:c r="J6" s="81" t="str">
        <x:v>Markdown</x:v>
      </x:c>
      <x:c r="K6" s="81" t="str">
        <x:v>Condensed from Google Drive source SA - Sustainability - Biomimesis.</x:v>
      </x:c>
      <x:c r="L6" s="81" t="str">
        <x:v>Drive source</x:v>
      </x:c>
      <x:c r="M6" s="81" t="str">
        <x:v>One-page brief</x:v>
      </x:c>
      <x:c r="N6" s="81" t="str">
        <x:v>CONST-001; House OS</x:v>
      </x:c>
      <x:c r="O6" s="81" t="str">
        <x:v>Plain Markdown</x:v>
      </x:c>
      <x:c r="P6" s="81" t="str">
        <x:v>Original evidence dated.</x:v>
      </x:c>
      <x:c r="Q6" s="81" t="str">
        <x:v>Select one room adaptation indicator.</x:v>
      </x:c>
    </x:row>
    <x:row r="7" ht="52" customHeight="1">
      <x:c r="A7" s="82" t="str">
        <x:v>ART-003</x:v>
      </x:c>
      <x:c r="B7" s="82" t="str">
        <x:v>KS-001</x:v>
      </x:c>
      <x:c r="C7" s="81" t="str">
        <x:v>SINDERESIS-working-outline.md</x:v>
      </x:c>
      <x:c r="D7" s="81" t="str">
        <x:v>dossier</x:v>
      </x:c>
      <x:c r="E7" s="81" t="str">
        <x:v>active</x:v>
      </x:c>
      <x:c r="F7" s="81" t="str">
        <x:v>confirmed artifact</x:v>
      </x:c>
      <x:c r="G7" s="81" t="str">
        <x:v>Working</x:v>
      </x:c>
      <x:c r="H7" s="81" t="str"/>
      <x:c r="I7" s="81" t="str">
        <x:v>Library:/SINDERESIS-working-outline.md</x:v>
      </x:c>
      <x:c r="J7" s="81" t="str">
        <x:v>Markdown</x:v>
      </x:c>
      <x:c r="K7" s="81" t="str">
        <x:v>Structural extraction from 2019 source; source unchanged.</x:v>
      </x:c>
      <x:c r="L7" s="81" t="str">
        <x:v>NotesforDraftofSINDERESIS.md</x:v>
      </x:c>
      <x:c r="M7" s="81" t="str">
        <x:v>Themes; terms; unresolved questions; edit set</x:v>
      </x:c>
      <x:c r="N7" s="81" t="str">
        <x:v>term.json; interpreter</x:v>
      </x:c>
      <x:c r="O7" s="81" t="str">
        <x:v>Plain Markdown</x:v>
      </x:c>
      <x:c r="P7" s="81" t="str">
        <x:v>Primary deliverable unresolved.</x:v>
      </x:c>
      <x:c r="Q7" s="81" t="str">
        <x:v>Produce term.json v0 and fixtures.</x:v>
      </x:c>
    </x:row>
    <x:row r="8" ht="52" customHeight="1">
      <x:c r="A8" s="82" t="str">
        <x:v>ART-004</x:v>
      </x:c>
      <x:c r="B8" s="82" t="str">
        <x:v>WD-001</x:v>
      </x:c>
      <x:c r="C8" s="81" t="str">
        <x:v>CASSETTE_ATLAS_v0.1.md</x:v>
      </x:c>
      <x:c r="D8" s="81" t="str">
        <x:v>registry</x:v>
      </x:c>
      <x:c r="E8" s="81" t="str">
        <x:v>active</x:v>
      </x:c>
      <x:c r="F8" s="81" t="str">
        <x:v>confirmed artifact</x:v>
      </x:c>
      <x:c r="G8" s="81" t="str">
        <x:v>Canonical</x:v>
      </x:c>
      <x:c r="H8" s="81" t="str"/>
      <x:c r="I8" s="81" t="str">
        <x:v>Library:/CASSETTE_ATLAS_v0.1.md</x:v>
      </x:c>
      <x:c r="J8" s="81" t="str">
        <x:v>Markdown</x:v>
      </x:c>
      <x:c r="K8" s="81" t="str">
        <x:v>Cross-thread cassette recovery and generalization.</x:v>
      </x:c>
      <x:c r="L8" s="81" t="str">
        <x:v>Maker/cassette threads</x:v>
      </x:c>
      <x:c r="M8" s="81" t="str">
        <x:v>Laws; families; 15 specifications</x:v>
      </x:c>
      <x:c r="N8" s="81" t="str">
        <x:v>cassette_atlas.csv; C01-C15</x:v>
      </x:c>
      <x:c r="O8" s="81" t="str">
        <x:v>Printed/plain-text forms</x:v>
      </x:c>
      <x:c r="P8" s="81" t="str">
        <x:v>Prototype evidence incomplete.</x:v>
      </x:c>
      <x:c r="Q8" s="81" t="str">
        <x:v>Execute first-wave physical tests.</x:v>
      </x:c>
    </x:row>
    <x:row r="9" ht="52" customHeight="1">
      <x:c r="A9" s="82" t="str">
        <x:v>ART-005</x:v>
      </x:c>
      <x:c r="B9" s="82" t="str">
        <x:v>WD-001</x:v>
      </x:c>
      <x:c r="C9" s="81" t="str">
        <x:v>cassette_atlas.csv</x:v>
      </x:c>
      <x:c r="D9" s="81" t="str">
        <x:v>dataset</x:v>
      </x:c>
      <x:c r="E9" s="81" t="str">
        <x:v>active</x:v>
      </x:c>
      <x:c r="F9" s="81" t="str">
        <x:v>confirmed artifact</x:v>
      </x:c>
      <x:c r="G9" s="81" t="str">
        <x:v>Working</x:v>
      </x:c>
      <x:c r="H9" s="81" t="str">
        <x:v>ART-004</x:v>
      </x:c>
      <x:c r="I9" s="81" t="str">
        <x:v>Library:/cassette_atlas.csv</x:v>
      </x:c>
      <x:c r="J9" s="81" t="str">
        <x:v>CSV</x:v>
      </x:c>
      <x:c r="K9" s="81" t="str">
        <x:v>Machine-readable companion to Cassette Atlas.</x:v>
      </x:c>
      <x:c r="L9" s="81" t="str">
        <x:v>ART-004</x:v>
      </x:c>
      <x:c r="M9" s="81" t="str">
        <x:v>Cassette rows</x:v>
      </x:c>
      <x:c r="N9" s="81" t="str">
        <x:v>Registry/workbench</x:v>
      </x:c>
      <x:c r="O9" s="81" t="str">
        <x:v>Printed table</x:v>
      </x:c>
      <x:c r="P9" s="81" t="str">
        <x:v>Schema/version relation not formally declared.</x:v>
      </x:c>
      <x:c r="Q9" s="81" t="str">
        <x:v>Map stable Cxx IDs into Gate 1.</x:v>
      </x:c>
    </x:row>
    <x:row r="10" ht="52" customHeight="1">
      <x:c r="A10" s="82" t="str">
        <x:v>ART-006</x:v>
      </x:c>
      <x:c r="B10" s="82" t="str">
        <x:v>APP-000</x:v>
      </x:c>
      <x:c r="C10" s="81" t="str">
        <x:v>APP_ATLAS_V1.md</x:v>
      </x:c>
      <x:c r="D10" s="81" t="str">
        <x:v>registry</x:v>
      </x:c>
      <x:c r="E10" s="81" t="str">
        <x:v>active</x:v>
      </x:c>
      <x:c r="F10" s="81" t="str">
        <x:v>confirmed artifact</x:v>
      </x:c>
      <x:c r="G10" s="81" t="str">
        <x:v>Canonical</x:v>
      </x:c>
      <x:c r="H10" s="81" t="str"/>
      <x:c r="I10" s="81" t="str">
        <x:v>Library:/APP_ATLAS_V1.md</x:v>
      </x:c>
      <x:c r="J10" s="81" t="str">
        <x:v>Markdown</x:v>
      </x:c>
      <x:c r="K10" s="81" t="str">
        <x:v>Triage of explicit, implied and recovered app ideas.</x:v>
      </x:c>
      <x:c r="L10" s="81" t="str">
        <x:v>App conversations and recovered projects</x:v>
      </x:c>
      <x:c r="M10" s="81" t="str">
        <x:v>Build/merge/incubate/kill map</x:v>
      </x:c>
      <x:c r="N10" s="81" t="str">
        <x:v>app_atlas_v1.json; App Foundry</x:v>
      </x:c>
      <x:c r="O10" s="81" t="str">
        <x:v>Plain Markdown</x:v>
      </x:c>
      <x:c r="P10" s="81" t="str">
        <x:v>Prototype states absent.</x:v>
      </x:c>
      <x:c r="Q10" s="81" t="str">
        <x:v>Seed App Foundry after Gate 1.</x:v>
      </x:c>
    </x:row>
    <x:row r="11" ht="52" customHeight="1">
      <x:c r="A11" s="82" t="str">
        <x:v>ART-007</x:v>
      </x:c>
      <x:c r="B11" s="82" t="str">
        <x:v>APP-000</x:v>
      </x:c>
      <x:c r="C11" s="81" t="str">
        <x:v>app_atlas_v1.json</x:v>
      </x:c>
      <x:c r="D11" s="81" t="str">
        <x:v>dataset</x:v>
      </x:c>
      <x:c r="E11" s="81" t="str">
        <x:v>active</x:v>
      </x:c>
      <x:c r="F11" s="81" t="str">
        <x:v>confirmed artifact</x:v>
      </x:c>
      <x:c r="G11" s="81" t="str">
        <x:v>Working</x:v>
      </x:c>
      <x:c r="H11" s="81" t="str">
        <x:v>ART-006</x:v>
      </x:c>
      <x:c r="I11" s="81" t="str">
        <x:v>Library:/app_atlas_v1.json</x:v>
      </x:c>
      <x:c r="J11" s="81" t="str">
        <x:v>JSON</x:v>
      </x:c>
      <x:c r="K11" s="81" t="str">
        <x:v>Machine-readable companion to App Atlas.</x:v>
      </x:c>
      <x:c r="L11" s="81" t="str">
        <x:v>ART-006</x:v>
      </x:c>
      <x:c r="M11" s="81" t="str">
        <x:v>App records</x:v>
      </x:c>
      <x:c r="N11" s="81" t="str">
        <x:v>App Foundry</x:v>
      </x:c>
      <x:c r="O11" s="81" t="str">
        <x:v>Plain JSON</x:v>
      </x:c>
      <x:c r="P11" s="81" t="str">
        <x:v>No executable store.</x:v>
      </x:c>
      <x:c r="Q11" s="81" t="str">
        <x:v>Import three records into prototype.</x:v>
      </x:c>
    </x:row>
    <x:row r="12" ht="52" customHeight="1">
      <x:c r="A12" s="82" t="str">
        <x:v>ART-008</x:v>
      </x:c>
      <x:c r="B12" s="82" t="str">
        <x:v>A003</x:v>
      </x:c>
      <x:c r="C12" s="81" t="str">
        <x:v>ARTIFACT_QUEUE.md</x:v>
      </x:c>
      <x:c r="D12" s="81" t="str">
        <x:v>registry</x:v>
      </x:c>
      <x:c r="E12" s="81" t="str">
        <x:v>active</x:v>
      </x:c>
      <x:c r="F12" s="81" t="str">
        <x:v>confirmed artifact</x:v>
      </x:c>
      <x:c r="G12" s="81" t="str">
        <x:v>Working</x:v>
      </x:c>
      <x:c r="H12" s="81" t="str"/>
      <x:c r="I12" s="81" t="str">
        <x:v>Library:/ARTIFACT_QUEUE.md</x:v>
      </x:c>
      <x:c r="J12" s="81" t="str">
        <x:v>Markdown</x:v>
      </x:c>
      <x:c r="K12" s="81" t="str">
        <x:v>Laconic recovery queue and continuation packet.</x:v>
      </x:c>
      <x:c r="L12" s="81" t="str">
        <x:v>Recovered line ledgers and missingness</x:v>
      </x:c>
      <x:c r="M12" s="81" t="str">
        <x:v>A001-A004 states</x:v>
      </x:c>
      <x:c r="N12" s="81" t="str">
        <x:v>Gate 1; Laconic recovery</x:v>
      </x:c>
      <x:c r="O12" s="81" t="str">
        <x:v>Plain Markdown</x:v>
      </x:c>
      <x:c r="P12" s="81" t="str">
        <x:v>Several source strata unresolved.</x:v>
      </x:c>
      <x:c r="Q12" s="81" t="str">
        <x:v>Run A003 before A001/A002.</x:v>
      </x:c>
    </x:row>
    <x:row r="13" ht="52" customHeight="1">
      <x:c r="A13" s="82" t="str">
        <x:v>ART-009</x:v>
      </x:c>
      <x:c r="B13" s="82" t="str">
        <x:v>A001</x:v>
      </x:c>
      <x:c r="C13" s="81" t="str">
        <x:v>LACONIC_GRAMMAR.md</x:v>
      </x:c>
      <x:c r="D13" s="81" t="str">
        <x:v>canon page</x:v>
      </x:c>
      <x:c r="E13" s="81" t="str">
        <x:v>active</x:v>
      </x:c>
      <x:c r="F13" s="81" t="str">
        <x:v>confirmed artifact</x:v>
      </x:c>
      <x:c r="G13" s="81" t="str">
        <x:v>Canonical</x:v>
      </x:c>
      <x:c r="H13" s="81" t="str"/>
      <x:c r="I13" s="81" t="str">
        <x:v>Library:/LACONIC_GRAMMAR.md</x:v>
      </x:c>
      <x:c r="J13" s="81" t="str">
        <x:v>Markdown</x:v>
      </x:c>
      <x:c r="K13" s="81" t="str">
        <x:v>Recovered grammar families and tensions.</x:v>
      </x:c>
      <x:c r="L13" s="81" t="str">
        <x:v>Laconic ledger</x:v>
      </x:c>
      <x:c r="M13" s="81" t="str">
        <x:v>G001-G016 grammar</x:v>
      </x:c>
      <x:c r="N13" s="81" t="str">
        <x:v>A001; A002; poetry</x:v>
      </x:c>
      <x:c r="O13" s="81" t="str">
        <x:v>Plain Markdown</x:v>
      </x:c>
      <x:c r="P13" s="81" t="str">
        <x:v>Original Script Bank missing.</x:v>
      </x:c>
      <x:c r="Q13" s="81" t="str">
        <x:v>Bind grammar instances to ledger rows.</x:v>
      </x:c>
    </x:row>
    <x:row r="14" ht="52" customHeight="1">
      <x:c r="A14" s="82" t="str">
        <x:v>ART-010</x:v>
      </x:c>
      <x:c r="B14" s="82" t="str">
        <x:v>MP-005</x:v>
      </x:c>
      <x:c r="C14" s="81" t="str">
        <x:v>Sleeper_Federation_Map_v1.md</x:v>
      </x:c>
      <x:c r="D14" s="81" t="str">
        <x:v>dossier</x:v>
      </x:c>
      <x:c r="E14" s="81" t="str">
        <x:v>active</x:v>
      </x:c>
      <x:c r="F14" s="81" t="str">
        <x:v>confirmed artifact</x:v>
      </x:c>
      <x:c r="G14" s="81" t="str">
        <x:v>Canonical</x:v>
      </x:c>
      <x:c r="H14" s="81" t="str"/>
      <x:c r="I14" s="81" t="str">
        <x:v>Library:/Sleeper_Federation_Map_v1.md</x:v>
      </x:c>
      <x:c r="J14" s="81" t="str">
        <x:v>Markdown</x:v>
      </x:c>
      <x:c r="K14" s="81" t="str">
        <x:v>Defines high-convergence interfaces and non-transfer boundaries.</x:v>
      </x:c>
      <x:c r="L14" s="81" t="str">
        <x:v>Sleeper and adjacent systems</x:v>
      </x:c>
      <x:c r="M14" s="81" t="str">
        <x:v>Federation map</x:v>
      </x:c>
      <x:c r="N14" s="81" t="str">
        <x:v>House OS; Prison Age; Council; Rasa</x:v>
      </x:c>
      <x:c r="O14" s="81" t="str">
        <x:v>Plain Markdown</x:v>
      </x:c>
      <x:c r="P14" s="81" t="str">
        <x:v>Source strata incomplete.</x:v>
      </x:c>
      <x:c r="Q14" s="81" t="str">
        <x:v>Test one bounded operator transfer.</x:v>
      </x:c>
    </x:row>
    <x:row r="15" ht="52" customHeight="1">
      <x:c r="A15" s="82" t="str">
        <x:v>ART-011</x:v>
      </x:c>
      <x:c r="B15" s="82" t="str">
        <x:v>MP-005</x:v>
      </x:c>
      <x:c r="C15" s="81" t="str">
        <x:v>Sleeper_Atlas_Reader_Compendium.pdf</x:v>
      </x:c>
      <x:c r="D15" s="81" t="str">
        <x:v>reader edition</x:v>
      </x:c>
      <x:c r="E15" s="81" t="str">
        <x:v>canonical</x:v>
      </x:c>
      <x:c r="F15" s="81" t="str">
        <x:v>confirmed artifact</x:v>
      </x:c>
      <x:c r="G15" s="81" t="str">
        <x:v>Canonical</x:v>
      </x:c>
      <x:c r="H15" s="81" t="str"/>
      <x:c r="I15" s="81" t="str">
        <x:v>Library:/3aug2026/Sleeper_Atlas_Reader_Compendium.pdf</x:v>
      </x:c>
      <x:c r="J15" s="81" t="str">
        <x:v>PDF</x:v>
      </x:c>
      <x:c r="K15" s="81" t="str">
        <x:v>Reader compendium for Sleeper/Prison Age atlas strata.</x:v>
      </x:c>
      <x:c r="L15" s="81" t="str">
        <x:v>Sleeper atlas material</x:v>
      </x:c>
      <x:c r="M15" s="81" t="str">
        <x:v>Reader compendium</x:v>
      </x:c>
      <x:c r="N15" s="81" t="str">
        <x:v>MP-001; MP-005</x:v>
      </x:c>
      <x:c r="O15" s="81" t="str">
        <x:v>PDF</x:v>
      </x:c>
      <x:c r="P15" s="81" t="str">
        <x:v>Internal source map not registered.</x:v>
      </x:c>
      <x:c r="Q15" s="81" t="str">
        <x:v>Index sections and source status.</x:v>
      </x:c>
    </x:row>
    <x:row r="16" ht="52" customHeight="1">
      <x:c r="A16" s="82" t="str">
        <x:v>ART-012</x:v>
      </x:c>
      <x:c r="B16" s="82" t="str">
        <x:v>MP-003</x:v>
      </x:c>
      <x:c r="C16" s="81" t="str">
        <x:v>Youre_a_Wake_CONVERGENCE_v2_1.pdf</x:v>
      </x:c>
      <x:c r="D16" s="81" t="str">
        <x:v>reader edition</x:v>
      </x:c>
      <x:c r="E16" s="81" t="str">
        <x:v>canonical</x:v>
      </x:c>
      <x:c r="F16" s="81" t="str">
        <x:v>confirmed artifact</x:v>
      </x:c>
      <x:c r="G16" s="81" t="str">
        <x:v>Canonical</x:v>
      </x:c>
      <x:c r="H16" s="81" t="str"/>
      <x:c r="I16" s="81" t="str">
        <x:v>Library:/Youre_a_Wake_CONVERGENCE_v2_1.pdf</x:v>
      </x:c>
      <x:c r="J16" s="81" t="str">
        <x:v>PDF</x:v>
      </x:c>
      <x:c r="K16" s="81" t="str">
        <x:v>Convergence package derived from You're a Wake source.</x:v>
      </x:c>
      <x:c r="L16" s="81" t="str">
        <x:v>Google Drive source and later synthesis</x:v>
      </x:c>
      <x:c r="M16" s="81" t="str">
        <x:v>Reader package</x:v>
      </x:c>
      <x:c r="N16" s="81" t="str">
        <x:v>MP-002; MP-005</x:v>
      </x:c>
      <x:c r="O16" s="81" t="str">
        <x:v>PDF</x:v>
      </x:c>
      <x:c r="P16" s="81" t="str">
        <x:v>Change lineage incomplete.</x:v>
      </x:c>
      <x:c r="Q16" s="81" t="str">
        <x:v>Create one-page source-to-section map.</x:v>
      </x:c>
    </x:row>
    <x:row r="17" ht="52" customHeight="1">
      <x:c r="A17" s="82" t="str">
        <x:v>ART-013</x:v>
      </x:c>
      <x:c r="B17" s="82" t="str">
        <x:v>MP-003</x:v>
      </x:c>
      <x:c r="C17" s="81" t="str">
        <x:v>Youre_a_Wake_CONVERGENCE_v2_1.docx</x:v>
      </x:c>
      <x:c r="D17" s="81" t="str">
        <x:v>reader edition</x:v>
      </x:c>
      <x:c r="E17" s="81" t="str">
        <x:v>canonical</x:v>
      </x:c>
      <x:c r="F17" s="81" t="str">
        <x:v>confirmed artifact</x:v>
      </x:c>
      <x:c r="G17" s="81" t="str">
        <x:v>Working</x:v>
      </x:c>
      <x:c r="H17" s="81" t="str">
        <x:v>ART-012</x:v>
      </x:c>
      <x:c r="I17" s="81" t="str">
        <x:v>Library:/Youre_a_Wake_CONVERGENCE_v2_1.docx</x:v>
      </x:c>
      <x:c r="J17" s="81" t="str">
        <x:v>DOCX</x:v>
      </x:c>
      <x:c r="K17" s="81" t="str">
        <x:v>Editable variant of convergence package.</x:v>
      </x:c>
      <x:c r="L17" s="81" t="str">
        <x:v>Same as ART-012</x:v>
      </x:c>
      <x:c r="M17" s="81" t="str">
        <x:v>Editable reader package</x:v>
      </x:c>
      <x:c r="N17" s="81" t="str">
        <x:v>MP-003</x:v>
      </x:c>
      <x:c r="O17" s="81" t="str">
        <x:v>DOCX</x:v>
      </x:c>
      <x:c r="P17" s="81" t="str">
        <x:v>Variant relationship not previously registered.</x:v>
      </x:c>
      <x:c r="Q17" s="81" t="str">
        <x:v>Keep paired with PDF under explicit variant link.</x:v>
      </x:c>
    </x:row>
    <x:row r="18" ht="52" customHeight="1">
      <x:c r="A18" s="82" t="str">
        <x:v>ART-014</x:v>
      </x:c>
      <x:c r="B18" s="82" t="str">
        <x:v>MP-006</x:v>
      </x:c>
      <x:c r="C18" s="81" t="str">
        <x:v>ALL_PATHS_REAL_NONE_FINAL_512_MICROSTORIES.docx</x:v>
      </x:c>
      <x:c r="D18" s="81" t="str">
        <x:v>reader edition</x:v>
      </x:c>
      <x:c r="E18" s="81" t="str">
        <x:v>canonical</x:v>
      </x:c>
      <x:c r="F18" s="81" t="str">
        <x:v>confirmed artifact</x:v>
      </x:c>
      <x:c r="G18" s="81" t="str">
        <x:v>Canonical</x:v>
      </x:c>
      <x:c r="H18" s="81" t="str"/>
      <x:c r="I18" s="81" t="str">
        <x:v>Library:/3aug2026/ALL_PATHS_REAL_NONE_FINAL_512_MICROSTORIES.docx</x:v>
      </x:c>
      <x:c r="J18" s="81" t="str">
        <x:v>DOCX</x:v>
      </x:c>
      <x:c r="K18" s="81" t="str">
        <x:v>Large microstory corpus.</x:v>
      </x:c>
      <x:c r="L18" s="81" t="str">
        <x:v>Microstory generation/recovery</x:v>
      </x:c>
      <x:c r="M18" s="81" t="str">
        <x:v>512-story collection</x:v>
      </x:c>
      <x:c r="N18" s="81" t="str">
        <x:v>Sleeper/atlas</x:v>
      </x:c>
      <x:c r="O18" s="81" t="str">
        <x:v>DOCX</x:v>
      </x:c>
      <x:c r="P18" s="81" t="str">
        <x:v>Per-story IDs and provenance absent.</x:v>
      </x:c>
      <x:c r="Q18" s="81" t="str">
        <x:v>Create lightweight story index.</x:v>
      </x:c>
    </x:row>
    <x:row r="19" ht="52" customHeight="1">
      <x:c r="A19" s="82" t="str">
        <x:v>ART-015</x:v>
      </x:c>
      <x:c r="B19" s="82" t="str">
        <x:v>MP-018</x:v>
      </x:c>
      <x:c r="C19" s="81" t="str">
        <x:v>phantom-grid-v26.html</x:v>
      </x:c>
      <x:c r="D19" s="81" t="str">
        <x:v>code artifact</x:v>
      </x:c>
      <x:c r="E19" s="81" t="str">
        <x:v>canonical</x:v>
      </x:c>
      <x:c r="F19" s="81" t="str">
        <x:v>confirmed artifact</x:v>
      </x:c>
      <x:c r="G19" s="81" t="str">
        <x:v>Working</x:v>
      </x:c>
      <x:c r="H19" s="81" t="str"/>
      <x:c r="I19" s="81" t="str">
        <x:v>Library:/3aug2026/phantom-grid-v26.html</x:v>
      </x:c>
      <x:c r="J19" s="81" t="str">
        <x:v>HTML</x:v>
      </x:c>
      <x:c r="K19" s="81" t="str">
        <x:v>Interactive atlas stratum.</x:v>
      </x:c>
      <x:c r="L19" s="81" t="str">
        <x:v>Prior visual/code work</x:v>
      </x:c>
      <x:c r="M19" s="81" t="str">
        <x:v>Interactive page</x:v>
      </x:c>
      <x:c r="N19" s="81" t="str">
        <x:v>Atlas lineage</x:v>
      </x:c>
      <x:c r="O19" s="81" t="str">
        <x:v>Static HTML</x:v>
      </x:c>
      <x:c r="P19" s="81" t="str">
        <x:v>Dependencies and purpose unread.</x:v>
      </x:c>
      <x:c r="Q19" s="81" t="str">
        <x:v>Open locally and inventory functions/assets.</x:v>
      </x:c>
    </x:row>
    <x:row r="20" ht="52" customHeight="1">
      <x:c r="A20" s="82" t="str">
        <x:v>ART-016</x:v>
      </x:c>
      <x:c r="B20" s="82" t="str">
        <x:v>MP-007</x:v>
      </x:c>
      <x:c r="C20" s="81" t="str">
        <x:v>GP-2021-EN-POETRY~anthropy(draft).pdf</x:v>
      </x:c>
      <x:c r="D20" s="81" t="str">
        <x:v>source document</x:v>
      </x:c>
      <x:c r="E20" s="81" t="str">
        <x:v>triaged</x:v>
      </x:c>
      <x:c r="F20" s="81" t="str">
        <x:v>confirmed artifact</x:v>
      </x:c>
      <x:c r="G20" s="81" t="str">
        <x:v>Working</x:v>
      </x:c>
      <x:c r="H20" s="81" t="str"/>
      <x:c r="I20" s="81" t="str">
        <x:v>Library:/3aug2026/GP-2021-EN-POETRY~anthropy(draft).pdf</x:v>
      </x:c>
      <x:c r="J20" s="81" t="str">
        <x:v>PDF</x:v>
      </x:c>
      <x:c r="K20" s="81" t="str">
        <x:v>Poetry draft source.</x:v>
      </x:c>
      <x:c r="L20" s="81" t="str">
        <x:v>Google Drive poetry source</x:v>
      </x:c>
      <x:c r="M20" s="81" t="str">
        <x:v>Poetry corpus</x:v>
      </x:c>
      <x:c r="N20" s="81" t="str">
        <x:v>Laconic Grammar</x:v>
      </x:c>
      <x:c r="O20" s="81" t="str">
        <x:v>PDF</x:v>
      </x:c>
      <x:c r="P20" s="81" t="str">
        <x:v>Working package path unresolved.</x:v>
      </x:c>
      <x:c r="Q20" s="81" t="str">
        <x:v>Index motifs/devices and ordering.</x:v>
      </x:c>
    </x:row>
    <x:row r="21" ht="52" customHeight="1">
      <x:c r="A21" s="82" t="str">
        <x:v>ART-017</x:v>
      </x:c>
      <x:c r="B21" s="82" t="str">
        <x:v>MP-001</x:v>
      </x:c>
      <x:c r="C21" s="81" t="str">
        <x:v>Prison Age convergence design system.png</x:v>
      </x:c>
      <x:c r="D21" s="81" t="str">
        <x:v>visual artifact</x:v>
      </x:c>
      <x:c r="E21" s="81" t="str">
        <x:v>triaged</x:v>
      </x:c>
      <x:c r="F21" s="81" t="str">
        <x:v>confirmed artifact</x:v>
      </x:c>
      <x:c r="G21" s="81" t="str">
        <x:v>Working</x:v>
      </x:c>
      <x:c r="H21" s="81" t="str"/>
      <x:c r="I21" s="81" t="str">
        <x:v>Library:/3aug2026/Prison age convergence design system.png</x:v>
      </x:c>
      <x:c r="J21" s="81" t="str">
        <x:v>PNG</x:v>
      </x:c>
      <x:c r="K21" s="81" t="str">
        <x:v>Generated visual stratum.</x:v>
      </x:c>
      <x:c r="L21" s="81" t="str">
        <x:v>Prison Age prompts/grammar</x:v>
      </x:c>
      <x:c r="M21" s="81" t="str">
        <x:v>Eight-panel design system</x:v>
      </x:c>
      <x:c r="N21" s="81" t="str">
        <x:v>MP-015; MP-016</x:v>
      </x:c>
      <x:c r="O21" s="81" t="str">
        <x:v>PNG</x:v>
      </x:c>
      <x:c r="P21" s="81" t="str">
        <x:v>Source/status annotations absent.</x:v>
      </x:c>
      <x:c r="Q21" s="81" t="str">
        <x:v>Annotate claims and operators.</x:v>
      </x:c>
    </x:row>
    <x:row r="22" ht="52" customHeight="1">
      <x:c r="A22" s="82" t="str">
        <x:v>ART-018</x:v>
      </x:c>
      <x:c r="B22" s="82" t="str">
        <x:v>MP-001</x:v>
      </x:c>
      <x:c r="C22" s="81" t="str">
        <x:v>Eight-Panel Atlas of Prison Age Concepts.png</x:v>
      </x:c>
      <x:c r="D22" s="81" t="str">
        <x:v>visual artifact</x:v>
      </x:c>
      <x:c r="E22" s="81" t="str">
        <x:v>triaged</x:v>
      </x:c>
      <x:c r="F22" s="81" t="str">
        <x:v>confirmed artifact</x:v>
      </x:c>
      <x:c r="G22" s="81" t="str">
        <x:v>Working</x:v>
      </x:c>
      <x:c r="H22" s="81" t="str">
        <x:v>ART-017</x:v>
      </x:c>
      <x:c r="I22" s="81" t="str">
        <x:v>Library:/3aug2026/Eight-Panel Atlas of Prison Age Concepts.png</x:v>
      </x:c>
      <x:c r="J22" s="81" t="str">
        <x:v>PNG</x:v>
      </x:c>
      <x:c r="K22" s="81" t="str">
        <x:v>Generated atlas variant.</x:v>
      </x:c>
      <x:c r="L22" s="81" t="str">
        <x:v>Prison Age concepts</x:v>
      </x:c>
      <x:c r="M22" s="81" t="str">
        <x:v>Eight-panel atlas</x:v>
      </x:c>
      <x:c r="N22" s="81" t="str">
        <x:v>MP-015</x:v>
      </x:c>
      <x:c r="O22" s="81" t="str">
        <x:v>PNG</x:v>
      </x:c>
      <x:c r="P22" s="81" t="str">
        <x:v>Variant lineage and differences unregistered.</x:v>
      </x:c>
      <x:c r="Q22" s="81" t="str">
        <x:v>Compare with ART-017; preserve both.</x:v>
      </x:c>
    </x:row>
    <x:row r="23" ht="52" customHeight="1">
      <x:c r="A23" s="82" t="str">
        <x:v>ART-019</x:v>
      </x:c>
      <x:c r="B23" s="82" t="str">
        <x:v>MP-001</x:v>
      </x:c>
      <x:c r="C23" s="81" t="str">
        <x:v>Prison Age: Engines of Escape.png</x:v>
      </x:c>
      <x:c r="D23" s="81" t="str">
        <x:v>visual artifact</x:v>
      </x:c>
      <x:c r="E23" s="81" t="str">
        <x:v>triaged</x:v>
      </x:c>
      <x:c r="F23" s="81" t="str">
        <x:v>confirmed artifact</x:v>
      </x:c>
      <x:c r="G23" s="81" t="str">
        <x:v>Working</x:v>
      </x:c>
      <x:c r="H23" s="81" t="str"/>
      <x:c r="I23" s="81" t="str">
        <x:v>Library:/3aug2026/Prison Age: Engines of Escape.png</x:v>
      </x:c>
      <x:c r="J23" s="81" t="str">
        <x:v>PNG</x:v>
      </x:c>
      <x:c r="K23" s="81" t="str">
        <x:v>Generated Prison Age visual.</x:v>
      </x:c>
      <x:c r="L23" s="81" t="str">
        <x:v>Prison Age concepts</x:v>
      </x:c>
      <x:c r="M23" s="81" t="str">
        <x:v>Visual plate</x:v>
      </x:c>
      <x:c r="N23" s="81" t="str">
        <x:v>MP-015</x:v>
      </x:c>
      <x:c r="O23" s="81" t="str">
        <x:v>PNG</x:v>
      </x:c>
      <x:c r="P23" s="81" t="str">
        <x:v>Evidence/status mapping absent.</x:v>
      </x:c>
      <x:c r="Q23" s="81" t="str">
        <x:v>Register motif and source prompt.</x:v>
      </x:c>
    </x:row>
    <x:row r="24" ht="52" customHeight="1">
      <x:c r="A24" s="82" t="str">
        <x:v>ART-020</x:v>
      </x:c>
      <x:c r="B24" s="82" t="str">
        <x:v>MP-001</x:v>
      </x:c>
      <x:c r="C24" s="81" t="str">
        <x:v>Architectural schematics of a prison age.png</x:v>
      </x:c>
      <x:c r="D24" s="81" t="str">
        <x:v>visual artifact</x:v>
      </x:c>
      <x:c r="E24" s="81" t="str">
        <x:v>triaged</x:v>
      </x:c>
      <x:c r="F24" s="81" t="str">
        <x:v>confirmed artifact</x:v>
      </x:c>
      <x:c r="G24" s="81" t="str">
        <x:v>Working</x:v>
      </x:c>
      <x:c r="H24" s="81" t="str"/>
      <x:c r="I24" s="81" t="str">
        <x:v>Library:/3aug2026/Architectural schematics of a prison age.png</x:v>
      </x:c>
      <x:c r="J24" s="81" t="str">
        <x:v>PNG</x:v>
      </x:c>
      <x:c r="K24" s="81" t="str">
        <x:v>Generated Prison Age visual.</x:v>
      </x:c>
      <x:c r="L24" s="81" t="str">
        <x:v>Prison Age concepts</x:v>
      </x:c>
      <x:c r="M24" s="81" t="str">
        <x:v>Schematic plate</x:v>
      </x:c>
      <x:c r="N24" s="81" t="str">
        <x:v>MP-015</x:v>
      </x:c>
      <x:c r="O24" s="81" t="str">
        <x:v>PNG</x:v>
      </x:c>
      <x:c r="P24" s="81" t="str">
        <x:v>Source/status mapping absent.</x:v>
      </x:c>
      <x:c r="Q24" s="81" t="str">
        <x:v>Register motif and source prompt.</x:v>
      </x:c>
    </x:row>
    <x:row r="25" ht="52" customHeight="1">
      <x:c r="A25" s="82" t="str">
        <x:v>ART-021</x:v>
      </x:c>
      <x:c r="B25" s="82" t="str">
        <x:v>MP-001</x:v>
      </x:c>
      <x:c r="C25" s="81" t="str">
        <x:v>Labyrinthine city of the prison age.png</x:v>
      </x:c>
      <x:c r="D25" s="81" t="str">
        <x:v>visual artifact</x:v>
      </x:c>
      <x:c r="E25" s="81" t="str">
        <x:v>triaged</x:v>
      </x:c>
      <x:c r="F25" s="81" t="str">
        <x:v>confirmed artifact</x:v>
      </x:c>
      <x:c r="G25" s="81" t="str">
        <x:v>Working</x:v>
      </x:c>
      <x:c r="H25" s="81" t="str"/>
      <x:c r="I25" s="81" t="str">
        <x:v>Library:/3aug2026/Labyrinthine city of the prison age.png</x:v>
      </x:c>
      <x:c r="J25" s="81" t="str">
        <x:v>PNG</x:v>
      </x:c>
      <x:c r="K25" s="81" t="str">
        <x:v>Generated Prison Age visual.</x:v>
      </x:c>
      <x:c r="L25" s="81" t="str">
        <x:v>Prison Age concepts</x:v>
      </x:c>
      <x:c r="M25" s="81" t="str">
        <x:v>City plate</x:v>
      </x:c>
      <x:c r="N25" s="81" t="str">
        <x:v>MP-015</x:v>
      </x:c>
      <x:c r="O25" s="81" t="str">
        <x:v>PNG</x:v>
      </x:c>
      <x:c r="P25" s="81" t="str">
        <x:v>Source/status mapping absent.</x:v>
      </x:c>
      <x:c r="Q25" s="81" t="str">
        <x:v>Register motif and source prompt.</x:v>
      </x:c>
    </x:row>
    <x:row r="26" ht="52" customHeight="1">
      <x:c r="A26" s="82" t="str">
        <x:v>ART-022</x:v>
      </x:c>
      <x:c r="B26" s="82" t="str">
        <x:v>MP-001</x:v>
      </x:c>
      <x:c r="C26" s="81" t="str">
        <x:v>Prison Age: The fandom split.png</x:v>
      </x:c>
      <x:c r="D26" s="81" t="str">
        <x:v>visual artifact</x:v>
      </x:c>
      <x:c r="E26" s="81" t="str">
        <x:v>triaged</x:v>
      </x:c>
      <x:c r="F26" s="81" t="str">
        <x:v>confirmed artifact</x:v>
      </x:c>
      <x:c r="G26" s="81" t="str">
        <x:v>Working</x:v>
      </x:c>
      <x:c r="H26" s="81" t="str"/>
      <x:c r="I26" s="81" t="str">
        <x:v>Library:/Prison Age: The fandom split.png</x:v>
      </x:c>
      <x:c r="J26" s="81" t="str">
        <x:v>PNG</x:v>
      </x:c>
      <x:c r="K26" s="81" t="str">
        <x:v>Generated Prison Age visual.</x:v>
      </x:c>
      <x:c r="L26" s="81" t="str">
        <x:v>Prison Age/fandom analysis</x:v>
      </x:c>
      <x:c r="M26" s="81" t="str">
        <x:v>Visual dossier</x:v>
      </x:c>
      <x:c r="N26" s="81" t="str">
        <x:v>MP-001</x:v>
      </x:c>
      <x:c r="O26" s="81" t="str">
        <x:v>PNG</x:v>
      </x:c>
      <x:c r="P26" s="81" t="str">
        <x:v>Role in canon unresolved.</x:v>
      </x:c>
      <x:c r="Q26" s="81" t="str">
        <x:v>Classify as canon, commentary or archive.</x:v>
      </x:c>
    </x:row>
    <x:row r="27" ht="52" customHeight="1">
      <x:c r="A27" s="82" t="str">
        <x:v>ART-023</x:v>
      </x:c>
      <x:c r="B27" s="82" t="str">
        <x:v>KS-003</x:v>
      </x:c>
      <x:c r="C27" s="81" t="str">
        <x:v>PROJECT-FEDERATION-GATE1-A003-v0.2.xlsx</x:v>
      </x:c>
      <x:c r="D27" s="81" t="str">
        <x:v>registry</x:v>
      </x:c>
      <x:c r="E27" s="81" t="str">
        <x:v>active</x:v>
      </x:c>
      <x:c r="F27" s="81" t="str">
        <x:v>confirmed artifact</x:v>
      </x:c>
      <x:c r="G27" s="81" t="str">
        <x:v>Canonical</x:v>
      </x:c>
      <x:c r="H27" s="81"/>
      <x:c r="I27" s="81" t="str">
        <x:v>Library:/PROJECT-FEDERATION-GATE1-A003-v0.2.xlsx</x:v>
      </x:c>
      <x:c r="J27" s="81" t="str">
        <x:v>XLSX</x:v>
      </x:c>
      <x:c r="K27" s="81" t="str">
        <x:v>Gate 1 base advanced by A003 run 01; same federation lineage.</x:v>
      </x:c>
      <x:c r="L27" s="81" t="str">
        <x:v>Gate 1 v0.1; A003 recovery outputs</x:v>
      </x:c>
      <x:c r="M27" s="81" t="str">
        <x:v>Master Index; Artifact Registry; Gate Queue; Recovery sheets</x:v>
      </x:c>
      <x:c r="N27" s="81" t="str">
        <x:v>All provinces</x:v>
      </x:c>
      <x:c r="O27" s="81" t="str">
        <x:v>XLSX</x:v>
      </x:c>
      <x:c r="P27" s="81" t="str">
        <x:v>Deep archive coverage remains incomplete; A003 makes missingness auditable.</x:v>
      </x:c>
      <x:c r="Q27" s="81" t="str">
        <x:v>Advance A001; replace this same identity after the next gated execution.</x:v>
      </x:c>
    </x:row>
    <x:row r="28" ht="52" customHeight="1">
      <x:c r="A28" s="82" t="str">
        <x:v>ART-024</x:v>
      </x:c>
      <x:c r="B28" s="82" t="str">
        <x:v>KS-001</x:v>
      </x:c>
      <x:c r="C28" s="81" t="str">
        <x:v>NotesforDraftofSINDERESIS.md</x:v>
      </x:c>
      <x:c r="D28" s="81" t="str">
        <x:v>source document</x:v>
      </x:c>
      <x:c r="E28" s="81" t="str">
        <x:v>canonical</x:v>
      </x:c>
      <x:c r="F28" s="81" t="str">
        <x:v>confirmed artifact</x:v>
      </x:c>
      <x:c r="G28" s="81" t="str">
        <x:v>Canonical</x:v>
      </x:c>
      <x:c r="H28" s="81" t="str"/>
      <x:c r="I28" s="81" t="str">
        <x:v>https://drive.google.com/file/d/1T5oueqjCCSigWmdu9s2qI3bV-eiQKVTi</x:v>
      </x:c>
      <x:c r="J28" s="81" t="str">
        <x:v>Markdown/Drive</x:v>
      </x:c>
      <x:c r="K28" s="81" t="str">
        <x:v>2019 source anchor; unchanged.</x:v>
      </x:c>
      <x:c r="L28" s="81" t="str">
        <x:v>Original thought-dump</x:v>
      </x:c>
      <x:c r="M28" s="81" t="str">
        <x:v>SINDERESIS source</x:v>
      </x:c>
      <x:c r="N28" s="81" t="str">
        <x:v>ART-003</x:v>
      </x:c>
      <x:c r="O28" s="81" t="str">
        <x:v>Drive source not mirrored here.</x:v>
      </x:c>
      <x:c r="P28" s="81" t="str">
        <x:v>Preserve raw chronology.</x:v>
      </x:c>
      <x:c r="Q28" s="81"/>
    </x:row>
    <x:row r="29" ht="52" customHeight="1">
      <x:c r="A29" s="82" t="str">
        <x:v>ART-025</x:v>
      </x:c>
      <x:c r="B29" s="82" t="str">
        <x:v>KS-022</x:v>
      </x:c>
      <x:c r="C29" s="81" t="str">
        <x:v>SA - Sustainability - Biomimesis</x:v>
      </x:c>
      <x:c r="D29" s="81" t="str">
        <x:v>source document</x:v>
      </x:c>
      <x:c r="E29" s="81" t="str">
        <x:v>canonical</x:v>
      </x:c>
      <x:c r="F29" s="81" t="str">
        <x:v>confirmed artifact</x:v>
      </x:c>
      <x:c r="G29" s="81" t="str">
        <x:v>Canonical</x:v>
      </x:c>
      <x:c r="H29" s="81" t="str"/>
      <x:c r="I29" s="81" t="str">
        <x:v>https://docs.google.com/document/d/1tKYPClOGfUUzekjPHCf6E_lcgJTMO4cM1hlYbKZ_ptk</x:v>
      </x:c>
      <x:c r="J29" s="81" t="str">
        <x:v>Google Doc</x:v>
      </x:c>
      <x:c r="K29" s="81" t="str">
        <x:v>Original sustainability draft.</x:v>
      </x:c>
      <x:c r="L29" s="81" t="str">
        <x:v>2012-era research/draft</x:v>
      </x:c>
      <x:c r="M29" s="81" t="str">
        <x:v>Source for ART-002</x:v>
      </x:c>
      <x:c r="N29" s="81" t="str">
        <x:v>ART-002; CONST-001</x:v>
      </x:c>
      <x:c r="O29" s="81" t="str">
        <x:v>Citations dated/malformed.</x:v>
      </x:c>
      <x:c r="P29" s="81" t="str">
        <x:v>Leave unchanged; revise through working derivative.</x:v>
      </x:c>
      <x:c r="Q29" s="81"/>
    </x:row>
    <x:row r="30" ht="52" customHeight="1">
      <x:c r="A30" s="82" t="str">
        <x:v>ART-026</x:v>
      </x:c>
      <x:c r="B30" s="82" t="str">
        <x:v>A003</x:v>
      </x:c>
      <x:c r="C30" s="81" t="str">
        <x:v>a003_recovery_runner.mjs</x:v>
      </x:c>
      <x:c r="D30" s="81" t="str">
        <x:v>code artifact</x:v>
      </x:c>
      <x:c r="E30" s="81" t="str">
        <x:v>cooling down</x:v>
      </x:c>
      <x:c r="F30" s="81" t="str">
        <x:v>confirmed artifact</x:v>
      </x:c>
      <x:c r="G30" s="81" t="str">
        <x:v>Working</x:v>
      </x:c>
      <x:c r="H30" s="81"/>
      <x:c r="I30" s="81" t="str">
        <x:v>Library:/a003_recovery_runner.mjs</x:v>
      </x:c>
      <x:c r="J30" s="81" t="str">
        <x:v>JavaScript</x:v>
      </x:c>
      <x:c r="K30" s="81" t="str">
        <x:v>Executed A003-RUN-2026-08-09-01 against seven exports, line ledgers and OCR audit.</x:v>
      </x:c>
      <x:c r="L30" s="81" t="str">
        <x:v>Conversation exports; LACONIC_MASTER_LEDGER; MULTILINGUAL_LINE_ATLAS; OCR audit</x:v>
      </x:c>
      <x:c r="M30" s="81" t="str">
        <x:v>Exact/semantic-lite search; timestamp census; provenance diff; candidate queue</x:v>
      </x:c>
      <x:c r="N30" s="81" t="str">
        <x:v>A001; KS-004; repeatable CLI</x:v>
      </x:c>
      <x:c r="O30" s="81" t="str">
        <x:v>Manual search log</x:v>
      </x:c>
      <x:c r="P30" s="81" t="str">
        <x:v>Chronology gap remains; visual census incomplete; semantic-lite is retrieval, not proof.</x:v>
      </x:c>
      <x:c r="Q30" s="81" t="str">
        <x:v>Rerun only when source scope changes or OCR batch advances.</x:v>
      </x:c>
    </x:row>
    <x:row r="31" ht="52" customHeight="1">
      <x:c r="A31" s="82" t="str">
        <x:v>ART-027</x:v>
      </x:c>
      <x:c r="B31" s="82" t="str">
        <x:v>A001</x:v>
      </x:c>
      <x:c r="C31" s="81" t="str">
        <x:v>Searchable Laconic Ledger</x:v>
      </x:c>
      <x:c r="D31" s="81" t="str">
        <x:v>registry</x:v>
      </x:c>
      <x:c r="E31" s="81" t="str">
        <x:v>triaged</x:v>
      </x:c>
      <x:c r="F31" s="81" t="str">
        <x:v>proposal only</x:v>
      </x:c>
      <x:c r="G31" s="81" t="str">
        <x:v>Working</x:v>
      </x:c>
      <x:c r="H31" s="81" t="str"/>
      <x:c r="I31" s="81" t="str"/>
      <x:c r="J31" s="81" t="str">
        <x:v>TBD</x:v>
      </x:c>
      <x:c r="K31" s="81" t="str">
        <x:v>Chosen next artifact; source rows exist but file identity unresolved.</x:v>
      </x:c>
      <x:c r="L31" s="81" t="str">
        <x:v>Recovered line rows</x:v>
      </x:c>
      <x:c r="M31" s="81" t="str">
        <x:v>Searchable ledger</x:v>
      </x:c>
      <x:c r="N31" s="81" t="str">
        <x:v>A002</x:v>
      </x:c>
      <x:c r="O31" s="81" t="str">
        <x:v>CSV/plain table</x:v>
      </x:c>
      <x:c r="P31" s="81" t="str">
        <x:v>Missingness recovery pending.</x:v>
      </x:c>
      <x:c r="Q31" s="81" t="str">
        <x:v>Import after A003.</x:v>
      </x:c>
    </x:row>
    <x:row r="32" ht="52" customHeight="1">
      <x:c r="A32" s="82" t="str">
        <x:v>ART-028</x:v>
      </x:c>
      <x:c r="B32" s="82" t="str">
        <x:v>A002</x:v>
      </x:c>
      <x:c r="C32" s="81" t="str">
        <x:v>Canonical Line Book</x:v>
      </x:c>
      <x:c r="D32" s="81" t="str">
        <x:v>canon page</x:v>
      </x:c>
      <x:c r="E32" s="81" t="str">
        <x:v>captured</x:v>
      </x:c>
      <x:c r="F32" s="81" t="str">
        <x:v>proposal only</x:v>
      </x:c>
      <x:c r="G32" s="81" t="str">
        <x:v>Working</x:v>
      </x:c>
      <x:c r="H32" s="81" t="str"/>
      <x:c r="I32" s="81" t="str"/>
      <x:c r="J32" s="81" t="str">
        <x:v>TBD</x:v>
      </x:c>
      <x:c r="K32" s="81" t="str">
        <x:v>Chosen next artifact after ledger.</x:v>
      </x:c>
      <x:c r="L32" s="81" t="str">
        <x:v>Promoted ledger rows</x:v>
      </x:c>
      <x:c r="M32" s="81" t="str">
        <x:v>Canonical line book</x:v>
      </x:c>
      <x:c r="N32" s="81" t="str">
        <x:v>A001</x:v>
      </x:c>
      <x:c r="O32" s="81" t="str">
        <x:v>Markdown</x:v>
      </x:c>
      <x:c r="P32" s="81" t="str">
        <x:v>Promotion rules unresolved.</x:v>
      </x:c>
      <x:c r="Q32" s="81" t="str">
        <x:v>Define promotion rules.</x:v>
      </x:c>
    </x:row>
    <x:row r="33" ht="52" customHeight="1">
      <x:c r="A33" s="82" t="str">
        <x:v>ART-029</x:v>
      </x:c>
      <x:c r="B33" s="82" t="str">
        <x:v>SL-012</x:v>
      </x:c>
      <x:c r="C33" s="81" t="str">
        <x:v>term.json v0</x:v>
      </x:c>
      <x:c r="D33" s="81" t="str">
        <x:v>dataset</x:v>
      </x:c>
      <x:c r="E33" s="81" t="str">
        <x:v>staged</x:v>
      </x:c>
      <x:c r="F33" s="81" t="str">
        <x:v>proposal only</x:v>
      </x:c>
      <x:c r="G33" s="81" t="str">
        <x:v>Working</x:v>
      </x:c>
      <x:c r="H33" s="81" t="str"/>
      <x:c r="I33" s="81" t="str"/>
      <x:c r="J33" s="81" t="str">
        <x:v>JSON</x:v>
      </x:c>
      <x:c r="K33" s="81" t="str">
        <x:v>Chosen SINDERESIS continuation artifact.</x:v>
      </x:c>
      <x:c r="L33" s="81" t="str">
        <x:v>SINDERESIS terms/operations/fixtures</x:v>
      </x:c>
      <x:c r="M33" s="81" t="str">
        <x:v>Machine-readable kernel</x:v>
      </x:c>
      <x:c r="N33" s="81" t="str">
        <x:v>checker; interpreter</x:v>
      </x:c>
      <x:c r="O33" s="81" t="str">
        <x:v>Plain JSON</x:v>
      </x:c>
      <x:c r="P33" s="81" t="str">
        <x:v>Types and semantics unresolved.</x:v>
      </x:c>
      <x:c r="Q33" s="81" t="str">
        <x:v>Implement seven terms and six operations.</x:v>
      </x:c>
    </x:row>
    <x:row r="34" ht="52" customHeight="1">
      <x:c r="A34" s="82" t="str">
        <x:v>ART-030</x:v>
      </x:c>
      <x:c r="B34" s="82" t="str">
        <x:v>SL-012</x:v>
      </x:c>
      <x:c r="C34" s="81" t="str">
        <x:v>SINDERESIS checker</x:v>
      </x:c>
      <x:c r="D34" s="81" t="str">
        <x:v>code artifact</x:v>
      </x:c>
      <x:c r="E34" s="81" t="str">
        <x:v>captured</x:v>
      </x:c>
      <x:c r="F34" s="81" t="str">
        <x:v>proposal only</x:v>
      </x:c>
      <x:c r="G34" s="81" t="str">
        <x:v>Working</x:v>
      </x:c>
      <x:c r="H34" s="81" t="str"/>
      <x:c r="I34" s="81" t="str"/>
      <x:c r="J34" s="81" t="str">
        <x:v>JavaScript</x:v>
      </x:c>
      <x:c r="K34" s="81" t="str">
        <x:v>Chosen after term.json.</x:v>
      </x:c>
      <x:c r="L34" s="81" t="str">
        <x:v>term.json; fixtures</x:v>
      </x:c>
      <x:c r="M34" s="81" t="str">
        <x:v>AST/provenance/ambiguity result</x:v>
      </x:c>
      <x:c r="N34" s="81" t="str">
        <x:v>DataDisc interpreter</x:v>
      </x:c>
      <x:c r="O34" s="81" t="str">
        <x:v>Manual fixture checks</x:v>
      </x:c>
      <x:c r="P34" s="81" t="str">
        <x:v>Implementation absent.</x:v>
      </x:c>
      <x:c r="Q34" s="81" t="str">
        <x:v>Build simplest JS checker before UI.</x:v>
      </x:c>
    </x:row>
    <x:row r="35" ht="52" customHeight="1">
      <x:c r="A35" s="82" t="str">
        <x:v>ART-031</x:v>
      </x:c>
      <x:c r="B35" s="82" t="str">
        <x:v>MP-016</x:v>
      </x:c>
      <x:c r="C35" s="81" t="str">
        <x:v>Plate 09 specification</x:v>
      </x:c>
      <x:c r="D35" s="81" t="str">
        <x:v>visual artifact</x:v>
      </x:c>
      <x:c r="E35" s="81" t="str">
        <x:v>staged</x:v>
      </x:c>
      <x:c r="F35" s="81" t="str">
        <x:v>proposal only</x:v>
      </x:c>
      <x:c r="G35" s="81" t="str">
        <x:v>Working</x:v>
      </x:c>
      <x:c r="H35" s="81" t="str"/>
      <x:c r="I35" s="81" t="str"/>
      <x:c r="J35" s="81" t="str">
        <x:v>Markdown/visual</x:v>
      </x:c>
      <x:c r="K35" s="81" t="str">
        <x:v>Chosen verification plate.</x:v>
      </x:c>
      <x:c r="L35" s="81" t="str">
        <x:v>Series Grammar; Semantic Validation Schema</x:v>
      </x:c>
      <x:c r="M35" s="81" t="str">
        <x:v>Render specification</x:v>
      </x:c>
      <x:c r="N35" s="81" t="str">
        <x:v>Visual Evidence Atlas</x:v>
      </x:c>
      <x:c r="O35" s="81" t="str">
        <x:v>Text-only spec</x:v>
      </x:c>
      <x:c r="P35" s="81" t="str">
        <x:v>Existing spec path unresolved.</x:v>
      </x:c>
      <x:c r="Q35" s="81" t="str">
        <x:v>Resolve/create exact spec before rendering.</x:v>
      </x:c>
    </x:row>
    <x:row r="36" ht="42" customHeight="1">
      <x:c r="A36" t="str">
        <x:v>ART-032</x:v>
      </x:c>
      <x:c r="B36" t="str">
        <x:v>A003</x:v>
      </x:c>
      <x:c r="C36" t="str">
        <x:v>A003_MISSINGNESS_RECOVERY_REPORT.md</x:v>
      </x:c>
      <x:c r="D36" t="str">
        <x:v>dossier</x:v>
      </x:c>
      <x:c r="E36" t="str">
        <x:v>cooling down</x:v>
      </x:c>
      <x:c r="F36" t="str">
        <x:v>confirmed artifact</x:v>
      </x:c>
      <x:c r="G36" t="str">
        <x:v>Working</x:v>
      </x:c>
      <x:c r="H36" t="str"/>
      <x:c r="I36" t="str">
        <x:v>Library:/A003_MISSINGNESS_RECOVERY_REPORT.md</x:v>
      </x:c>
      <x:c r="J36" t="str">
        <x:v>Markdown</x:v>
      </x:c>
      <x:c r="K36" t="str">
        <x:v>Human-readable decision record for run 01.</x:v>
      </x:c>
      <x:c r="L36" t="str">
        <x:v>ART-026; run JSON</x:v>
      </x:c>
      <x:c r="M36" t="str">
        <x:v>Bounded result; continuation law</x:v>
      </x:c>
      <x:c r="N36" t="str">
        <x:v>A001</x:v>
      </x:c>
      <x:c r="O36" t="str">
        <x:v>Plain Markdown</x:v>
      </x:c>
      <x:c r="P36" t="str">
        <x:v>Completeness not established.</x:v>
      </x:c>
      <x:c r="Q36" t="str">
        <x:v>Revise on new source scope.</x:v>
      </x:c>
    </x:row>
    <x:row r="37" ht="42" customHeight="1">
      <x:c r="A37" t="str">
        <x:v>ART-033</x:v>
      </x:c>
      <x:c r="B37" t="str">
        <x:v>A003</x:v>
      </x:c>
      <x:c r="C37" t="str">
        <x:v>a003_recovery_run.json</x:v>
      </x:c>
      <x:c r="D37" t="str">
        <x:v>dataset</x:v>
      </x:c>
      <x:c r="E37" t="str">
        <x:v>cooling down</x:v>
      </x:c>
      <x:c r="F37" t="str">
        <x:v>confirmed artifact</x:v>
      </x:c>
      <x:c r="G37" t="str">
        <x:v>Working</x:v>
      </x:c>
      <x:c r="H37" t="str"/>
      <x:c r="I37" t="str">
        <x:v>Library:/a003_recovery_run.json</x:v>
      </x:c>
      <x:c r="J37" t="str">
        <x:v>JSON</x:v>
      </x:c>
      <x:c r="K37" t="str">
        <x:v>Machine-readable run 01 result.</x:v>
      </x:c>
      <x:c r="L37" t="str">
        <x:v>ART-026</x:v>
      </x:c>
      <x:c r="M37" t="str">
        <x:v>Counts; class results; logs; candidates</x:v>
      </x:c>
      <x:c r="N37" t="str">
        <x:v>A001; audit</x:v>
      </x:c>
      <x:c r="O37" t="str">
        <x:v>CSV/Markdown companions</x:v>
      </x:c>
      <x:c r="P37" t="str">
        <x:v>Exact-title references still require source judgment.</x:v>
      </x:c>
      <x:c r="Q37" t="str">
        <x:v>Diff against next run.</x:v>
      </x:c>
    </x:row>
    <x:row r="38" ht="42" customHeight="1">
      <x:c r="A38" t="str">
        <x:v>ART-034</x:v>
      </x:c>
      <x:c r="B38" t="str">
        <x:v>A003</x:v>
      </x:c>
      <x:c r="C38" t="str">
        <x:v>a003_search_log.csv</x:v>
      </x:c>
      <x:c r="D38" t="str">
        <x:v>dataset</x:v>
      </x:c>
      <x:c r="E38" t="str">
        <x:v>cooling down</x:v>
      </x:c>
      <x:c r="F38" t="str">
        <x:v>confirmed artifact</x:v>
      </x:c>
      <x:c r="G38" t="str">
        <x:v>Working</x:v>
      </x:c>
      <x:c r="H38" t="str"/>
      <x:c r="I38" t="str">
        <x:v>Library:/a003_search_log.csv</x:v>
      </x:c>
      <x:c r="J38" t="str">
        <x:v>CSV</x:v>
      </x:c>
      <x:c r="K38" t="str">
        <x:v>42 auditable search rows across four gap classes.</x:v>
      </x:c>
      <x:c r="L38" t="str">
        <x:v>ART-026</x:v>
      </x:c>
      <x:c r="M38" t="str">
        <x:v>Queries; methods; counts; zero-results</x:v>
      </x:c>
      <x:c r="N38" t="str">
        <x:v>A001; KS-004</x:v>
      </x:c>
      <x:c r="O38" t="str">
        <x:v>Manual log</x:v>
      </x:c>
      <x:c r="P38" t="str">
        <x:v>Search scope is bounded.</x:v>
      </x:c>
      <x:c r="Q38" t="str">
        <x:v>Append new queries; never overwrite prior run.</x:v>
      </x:c>
    </x:row>
    <x:row r="39" ht="42" customHeight="1">
      <x:c r="A39" t="str">
        <x:v>ART-035</x:v>
      </x:c>
      <x:c r="B39" t="str">
        <x:v>A003</x:v>
      </x:c>
      <x:c r="C39" t="str">
        <x:v>a003_exact_hit_contexts.csv</x:v>
      </x:c>
      <x:c r="D39" t="str">
        <x:v>dataset</x:v>
      </x:c>
      <x:c r="E39" t="str">
        <x:v>cooling down</x:v>
      </x:c>
      <x:c r="F39" t="str">
        <x:v>confirmed artifact</x:v>
      </x:c>
      <x:c r="G39" t="str">
        <x:v>Working</x:v>
      </x:c>
      <x:c r="H39" t="str"/>
      <x:c r="I39" t="str">
        <x:v>Library:/a003_exact_hit_contexts.csv</x:v>
      </x:c>
      <x:c r="J39" t="str">
        <x:v>CSV</x:v>
      </x:c>
      <x:c r="K39" t="str">
        <x:v>Source-return contexts for exact lexical hits.</x:v>
      </x:c>
      <x:c r="L39" t="str">
        <x:v>ART-026</x:v>
      </x:c>
      <x:c r="M39" t="str">
        <x:v>Source refs and compact previews</x:v>
      </x:c>
      <x:c r="N39" t="str">
        <x:v>A001</x:v>
      </x:c>
      <x:c r="O39" t="str">
        <x:v>Search log</x:v>
      </x:c>
      <x:c r="P39" t="str">
        <x:v>Previews do not replace source opening.</x:v>
      </x:c>
      <x:c r="Q39" t="str">
        <x:v>Verify source before ledger import.</x:v>
      </x:c>
    </x:row>
    <x:row r="40" ht="42" customHeight="1">
      <x:c r="A40" t="str">
        <x:v>ART-036</x:v>
      </x:c>
      <x:c r="B40" t="str">
        <x:v>A003</x:v>
      </x:c>
      <x:c r="C40" t="str">
        <x:v>a003_candidate_returns.csv</x:v>
      </x:c>
      <x:c r="D40" t="str">
        <x:v>dataset</x:v>
      </x:c>
      <x:c r="E40" t="str">
        <x:v>triaged</x:v>
      </x:c>
      <x:c r="F40" t="str">
        <x:v>confirmed artifact</x:v>
      </x:c>
      <x:c r="G40" t="str">
        <x:v>Working</x:v>
      </x:c>
      <x:c r="H40" t="str"/>
      <x:c r="I40" t="str">
        <x:v>Library:/a003_candidate_returns.csv</x:v>
      </x:c>
      <x:c r="J40" t="str">
        <x:v>CSV</x:v>
      </x:c>
      <x:c r="K40" t="str">
        <x:v>23 unverified candidate returns; zero canon promotions.</x:v>
      </x:c>
      <x:c r="L40" t="str">
        <x:v>ART-026; ART-037</x:v>
      </x:c>
      <x:c r="M40" t="str">
        <x:v>Candidate text; source; relation; next test</x:v>
      </x:c>
      <x:c r="N40" t="str">
        <x:v>A001; A002</x:v>
      </x:c>
      <x:c r="O40" t="str">
        <x:v>Manual triage sheet</x:v>
      </x:c>
      <x:c r="P40" t="str">
        <x:v>All rows remain unverified.</x:v>
      </x:c>
      <x:c r="Q40" t="str">
        <x:v>Open exact source and assign family/status.</x:v>
      </x:c>
    </x:row>
    <x:row r="41" ht="42" customHeight="1">
      <x:c r="A41" t="str">
        <x:v>ART-037</x:v>
      </x:c>
      <x:c r="B41" t="str">
        <x:v>A003</x:v>
      </x:c>
      <x:c r="C41" t="str">
        <x:v>a003_ocr_audit.json</x:v>
      </x:c>
      <x:c r="D41" t="str">
        <x:v>dataset</x:v>
      </x:c>
      <x:c r="E41" t="str">
        <x:v>triaged</x:v>
      </x:c>
      <x:c r="F41" t="str">
        <x:v>confirmed artifact</x:v>
      </x:c>
      <x:c r="G41" t="str">
        <x:v>Working</x:v>
      </x:c>
      <x:c r="H41" t="str"/>
      <x:c r="I41" t="str">
        <x:v>Library:/a003_ocr_audit.json</x:v>
      </x:c>
      <x:c r="J41" t="str">
        <x:v>JSON</x:v>
      </x:c>
      <x:c r="K41" t="str">
        <x:v>12-file OCR pilot from a 200+ retained visual census.</x:v>
      </x:c>
      <x:c r="L41" t="str">
        <x:v>Retained Library visuals</x:v>
      </x:c>
      <x:c r="M41" t="str">
        <x:v>Readable/noisy/zero-result file statuses</x:v>
      </x:c>
      <x:c r="N41" t="str">
        <x:v>A001; Visual Evidence Atlas</x:v>
      </x:c>
      <x:c r="O41" t="str">
        <x:v>Manual visual inspection</x:v>
      </x:c>
      <x:c r="P41" t="str">
        <x:v>Five zero-results; more visual files remain.</x:v>
      </x:c>
      <x:c r="Q41" t="str">
        <x:v>Continue in bounded batches; verify pixels.</x:v>
      </x:c>
    </x:row>
  </x:sheetData>
  <x:mergeCells>
    <x:mergeCell ref="A1:Q1"/>
    <x:mergeCell ref="A2:Q2"/>
  </x:mergeCells>
  <x:conditionalFormatting sqref="F5:F35">
    <x:cfRule type="containsText" dxfId="5" priority="1" operator="containsText" text="confirmed artifact"/>
    <x:cfRule type="containsText" dxfId="6" priority="2" operator="containsText" text="proposal only"/>
  </x:conditionalFormatting>
  <x:dataValidations count="4">
    <x:dataValidation type="list" sqref="D5:D35">
      <x:formula1>"constitution,dossier,protocol,registry,prompt pack,code artifact,dashboard,canon page,fieldnote capture sheet,physical cassette,visual artifact,dataset,source document,reader edition,app,system"</x:formula1>
    </x:dataValidation>
    <x:dataValidation type="list" sqref="E5:E35">
      <x:formula1>"captured,triaged,staged,active,cooling down,reset,canonical,superseded,retired"</x:formula1>
    </x:dataValidation>
    <x:dataValidation type="list" sqref="F5:F35">
      <x:formula1>"confirmed artifact,confirmed project,proposal only,unresolved"</x:formula1>
    </x:dataValidation>
    <x:dataValidation type="list" sqref="G5:G35">
      <x:formula1>"Ephemeral,Working,Canonical"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ce11659c174e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44" hidden="0" customWidth="1"/>
    <x:col min="5" max="5" width="52" hidden="0" customWidth="1"/>
    <x:col min="6" max="6" width="36" hidden="0" customWidth="1"/>
    <x:col min="7" max="7" width="40" hidden="0" customWidth="1"/>
    <x:col min="8" max="8" width="14" hidden="0" customWidth="1"/>
  </x:cols>
  <x:sheetData>
    <x:row r="1">
      <x:c r="A1" s="83" t="str">
        <x:v>GATE QUEUE · EXECUTION ORDER</x:v>
      </x:c>
      <x:c r="B1" s="83"/>
      <x:c r="C1" s="83"/>
      <x:c r="D1" s="83"/>
      <x:c r="E1" s="83"/>
      <x:c r="F1" s="83"/>
      <x:c r="G1" s="83"/>
      <x:c r="H1" s="83"/>
    </x:row>
    <x:row r="2">
      <x:c r="A2" s="5" t="str">
        <x:v>One active field at a time. A gate opens only when its exit criterion is observable.</x:v>
      </x:c>
      <x:c r="B2" s="5"/>
      <x:c r="C2" s="5"/>
      <x:c r="D2" s="5"/>
      <x:c r="E2" s="5"/>
      <x:c r="F2" s="5"/>
      <x:c r="G2" s="5"/>
      <x:c r="H2" s="5"/>
    </x:row>
    <x:row r="4">
      <x:c r="A4" s="77" t="str">
        <x:v>Order</x:v>
      </x:c>
      <x:c r="B4" s="77" t="str">
        <x:v>Gate</x:v>
      </x:c>
      <x:c r="C4" s="77" t="str">
        <x:v>Project ID</x:v>
      </x:c>
      <x:c r="D4" s="77" t="str">
        <x:v>Action</x:v>
      </x:c>
      <x:c r="E4" s="77" t="str">
        <x:v>Exit Criterion</x:v>
      </x:c>
      <x:c r="F4" s="77" t="str">
        <x:v>Dependencies / Blocks</x:v>
      </x:c>
      <x:c r="G4" s="77" t="str">
        <x:v>Safety Boundary</x:v>
      </x:c>
      <x:c r="H4" s="77" t="str">
        <x:v>State</x:v>
      </x:c>
    </x:row>
    <x:row r="5" ht="48" customHeight="1">
      <x:c r="A5" s="87" t="n">
        <x:v>1</x:v>
      </x:c>
      <x:c r="B5" s="87" t="str">
        <x:v>Gate 1</x:v>
      </x:c>
      <x:c r="C5" s="87" t="str">
        <x:v>KS-003</x:v>
      </x:c>
      <x:c r="D5" s="87" t="str">
        <x:v>Create Master Index + Artifact Registry.</x:v>
      </x:c>
      <x:c r="E5" s="87" t="str">
        <x:v>Workbook opens; IDs unique; all rows have state, confirmation, missingness, next test and revision trigger.</x:v>
      </x:c>
      <x:c r="F5" s="87" t="str">
        <x:v>Deep archive scan remains incomplete.</x:v>
      </x:c>
      <x:c r="G5" s="87" t="str">
        <x:v>Non-destructive only.</x:v>
      </x:c>
      <x:c r="H5" s="87" t="str">
        <x:v>active</x:v>
      </x:c>
    </x:row>
    <x:row r="6" ht="48" customHeight="1">
      <x:c r="A6" s="87" t="n">
        <x:v>2</x:v>
      </x:c>
      <x:c r="B6" s="87" t="str">
        <x:v>Gate 1</x:v>
      </x:c>
      <x:c r="C6" s="87" t="str">
        <x:v>A003</x:v>
      </x:c>
      <x:c r="D6" s="87" t="str">
        <x:v>Run Missingness Recovery Runner.</x:v>
      </x:c>
      <x:c r="E6" s="87" t="str">
        <x:v>Four declared gap classes searched with auditable zero-results.</x:v>
      </x:c>
      <x:c r="F6" s="87" t="str">
        <x:v>Source access and exact historical names.</x:v>
      </x:c>
      <x:c r="G6" s="87" t="str">
        <x:v>Do not infer absence from one failed search.</x:v>
      </x:c>
      <x:c r="H6" s="87" t="str">
        <x:v>cooling down</x:v>
      </x:c>
    </x:row>
    <x:row r="7" ht="48" customHeight="1">
      <x:c r="A7" s="87" t="n">
        <x:v>3</x:v>
      </x:c>
      <x:c r="B7" s="87" t="str">
        <x:v>Gate 1</x:v>
      </x:c>
      <x:c r="C7" s="87" t="str">
        <x:v>A001</x:v>
      </x:c>
      <x:c r="D7" s="87" t="str">
        <x:v>Build Searchable Laconic Ledger.</x:v>
      </x:c>
      <x:c r="E7" s="87" t="str">
        <x:v>Every imported row returns to source and preserves variants.</x:v>
      </x:c>
      <x:c r="F7" s="87" t="str">
        <x:v>A003 run 01 passed; import source rows next.</x:v>
      </x:c>
      <x:c r="G7" s="87" t="str">
        <x:v>No silent wording normalization.</x:v>
      </x:c>
      <x:c r="H7" s="87" t="str">
        <x:v>active</x:v>
      </x:c>
    </x:row>
    <x:row r="8" ht="48" customHeight="1">
      <x:c r="A8" s="87" t="n">
        <x:v>4</x:v>
      </x:c>
      <x:c r="B8" s="87" t="str">
        <x:v>Gate 1</x:v>
      </x:c>
      <x:c r="C8" s="87" t="str">
        <x:v>A002</x:v>
      </x:c>
      <x:c r="D8" s="87" t="str">
        <x:v>Build Canonical Line Book.</x:v>
      </x:c>
      <x:c r="E8" s="87" t="str">
        <x:v>Promotion and exclusion decisions have provenance.</x:v>
      </x:c>
      <x:c r="F8" s="87" t="str">
        <x:v>A001.</x:v>
      </x:c>
      <x:c r="G8" s="87" t="str">
        <x:v>No false authorship.</x:v>
      </x:c>
      <x:c r="H8" s="87" t="str">
        <x:v>captured</x:v>
      </x:c>
    </x:row>
    <x:row r="9" ht="48" customHeight="1">
      <x:c r="A9" s="87" t="n">
        <x:v>5</x:v>
      </x:c>
      <x:c r="B9" s="87" t="str">
        <x:v>Gate 2</x:v>
      </x:c>
      <x:c r="C9" s="87" t="str">
        <x:v>IG-007</x:v>
      </x:c>
      <x:c r="D9" s="87" t="str">
        <x:v>Run Room Reset cassette for three sessions.</x:v>
      </x:c>
      <x:c r="E9" s="87" t="str">
        <x:v>Start/reset time and missing/unused objects recorded; reset debt trends visible.</x:v>
      </x:c>
      <x:c r="F9" s="87" t="str">
        <x:v>Existing carrier.</x:v>
      </x:c>
      <x:c r="G9" s="87" t="str">
        <x:v>No purchase unless gate passes.</x:v>
      </x:c>
      <x:c r="H9" s="87" t="str">
        <x:v>staged</x:v>
      </x:c>
    </x:row>
    <x:row r="10" ht="48" customHeight="1">
      <x:c r="A10" s="87" t="n">
        <x:v>6</x:v>
      </x:c>
      <x:c r="B10" s="87" t="str">
        <x:v>Gate 2</x:v>
      </x:c>
      <x:c r="C10" s="87" t="str">
        <x:v>C05</x:v>
      </x:c>
      <x:c r="D10" s="87" t="str">
        <x:v>Assemble one Workbench Router pouch/tray.</x:v>
      </x:c>
      <x:c r="E10" s="87" t="str">
        <x:v>One active project stages and returns cleanly.</x:v>
      </x:c>
      <x:c r="F10" s="87" t="str">
        <x:v>Room Reset or chosen build.</x:v>
      </x:c>
      <x:c r="G10" s="87" t="str">
        <x:v>Use existing safe tools.</x:v>
      </x:c>
      <x:c r="H10" s="87" t="str">
        <x:v>staged</x:v>
      </x:c>
    </x:row>
    <x:row r="11" ht="48" customHeight="1">
      <x:c r="A11" s="87" t="n">
        <x:v>7</x:v>
      </x:c>
      <x:c r="B11" s="87" t="str">
        <x:v>Gate 2</x:v>
      </x:c>
      <x:c r="C11" s="87" t="str">
        <x:v>C06</x:v>
      </x:c>
      <x:c r="D11" s="87" t="str">
        <x:v>Mock one scroll/reel carrier.</x:v>
      </x:c>
      <x:c r="E11" s="87" t="str">
        <x:v>Ordered access tested against an ordinary pouch.</x:v>
      </x:c>
      <x:c r="F11" s="87" t="str">
        <x:v>Safe paper/fabric materials.</x:v>
      </x:c>
      <x:c r="G11" s="87" t="str">
        <x:v>No powered mechanism.</x:v>
      </x:c>
      <x:c r="H11" s="87" t="str">
        <x:v>staged</x:v>
      </x:c>
    </x:row>
    <x:row r="12" ht="48" customHeight="1">
      <x:c r="A12" s="87" t="n">
        <x:v>8</x:v>
      </x:c>
      <x:c r="B12" s="87" t="str">
        <x:v>Gate 2</x:v>
      </x:c>
      <x:c r="C12" s="87" t="str">
        <x:v>C09</x:v>
      </x:c>
      <x:c r="D12" s="87" t="str">
        <x:v>Build one low-load SINDER joint.</x:v>
      </x:c>
      <x:c r="E12" s="87" t="str">
        <x:v>Allowed motion and failure cues recorded.</x:v>
      </x:c>
      <x:c r="F12" s="87" t="str">
        <x:v>Cardboard/lightweight material.</x:v>
      </x:c>
      <x:c r="G12" s="87" t="str">
        <x:v>No structural use.</x:v>
      </x:c>
      <x:c r="H12" s="87" t="str">
        <x:v>staged</x:v>
      </x:c>
    </x:row>
    <x:row r="13" ht="48" customHeight="1">
      <x:c r="A13" s="87" t="n">
        <x:v>9</x:v>
      </x:c>
      <x:c r="B13" s="87" t="str">
        <x:v>Gate 2</x:v>
      </x:c>
      <x:c r="C13" s="87" t="str">
        <x:v>C10</x:v>
      </x:c>
      <x:c r="D13" s="87" t="str">
        <x:v>Draw one Labyrinth Route Tile.</x:v>
      </x:c>
      <x:c r="E13" s="87" t="str">
        <x:v>Typed media and unresolved junctions remain distinguishable.</x:v>
      </x:c>
      <x:c r="F13" s="87" t="str">
        <x:v>One room graph.</x:v>
      </x:c>
      <x:c r="G13" s="87" t="str">
        <x:v>Representation only.</x:v>
      </x:c>
      <x:c r="H13" s="87" t="str">
        <x:v>staged</x:v>
      </x:c>
    </x:row>
    <x:row r="14" ht="48" customHeight="1">
      <x:c r="A14" s="87" t="n">
        <x:v>10</x:v>
      </x:c>
      <x:c r="B14" s="87" t="str">
        <x:v>Gate 3</x:v>
      </x:c>
      <x:c r="C14" s="87" t="str">
        <x:v>SL-012</x:v>
      </x:c>
      <x:c r="D14" s="87" t="str">
        <x:v>Write term.json v0 and one page of laws.</x:v>
      </x:c>
      <x:c r="E14" s="87" t="str">
        <x:v>Seven terms, six operations and four fixtures are explicit.</x:v>
      </x:c>
      <x:c r="F14" s="87" t="str">
        <x:v>SINDERESIS outline.</x:v>
      </x:c>
      <x:c r="G14" s="87" t="str">
        <x:v>No untrusted code execution.</x:v>
      </x:c>
      <x:c r="H14" s="87" t="str">
        <x:v>staged</x:v>
      </x:c>
    </x:row>
    <x:row r="15" ht="48" customHeight="1">
      <x:c r="A15" s="87" t="n">
        <x:v>11</x:v>
      </x:c>
      <x:c r="B15" s="87" t="str">
        <x:v>Gate 3</x:v>
      </x:c>
      <x:c r="C15" s="87" t="str">
        <x:v>APP-001</x:v>
      </x:c>
      <x:c r="D15" s="87" t="str">
        <x:v>Rebuild one DataDisc/spiral/fan as interpreter.</x:v>
      </x:c>
      <x:c r="E15" s="87" t="str">
        <x:v>Input state, operator, transformation, output and return are replayable.</x:v>
      </x:c>
      <x:c r="F15" s="87" t="str">
        <x:v>term.json/checker.</x:v>
      </x:c>
      <x:c r="G15" s="87" t="str">
        <x:v>No source mutation.</x:v>
      </x:c>
      <x:c r="H15" s="87" t="str">
        <x:v>triaged</x:v>
      </x:c>
    </x:row>
    <x:row r="16" ht="48" customHeight="1">
      <x:c r="A16" s="87" t="n">
        <x:v>12</x:v>
      </x:c>
      <x:c r="B16" s="87" t="str">
        <x:v>Gate 3</x:v>
      </x:c>
      <x:c r="C16" s="87" t="str">
        <x:v>MP-016</x:v>
      </x:c>
      <x:c r="D16" s="87" t="str">
        <x:v>Finalize Plate 09 specification.</x:v>
      </x:c>
      <x:c r="E16" s="87" t="str">
        <x:v>Source/status/uncertainty fields are legible before render.</x:v>
      </x:c>
      <x:c r="F16" s="87" t="str">
        <x:v>Series Grammar + Semantic Validation.</x:v>
      </x:c>
      <x:c r="G16" s="87" t="str">
        <x:v>Visual authority cannot exceed evidence.</x:v>
      </x:c>
      <x:c r="H16" s="87" t="str">
        <x:v>staged</x:v>
      </x:c>
    </x:row>
    <x:row r="17" ht="48" customHeight="1">
      <x:c r="A17" s="87" t="n">
        <x:v>13</x:v>
      </x:c>
      <x:c r="B17" s="87" t="str">
        <x:v>Gate 4</x:v>
      </x:c>
      <x:c r="C17" s="87" t="str">
        <x:v>APP-041</x:v>
      </x:c>
      <x:c r="D17" s="87" t="str">
        <x:v>Model one room manually.</x:v>
      </x:c>
      <x:c r="E17" s="87" t="str">
        <x:v>Three state changes recorded before sensors.</x:v>
      </x:c>
      <x:c r="F17" s="87" t="str">
        <x:v>Room card and route tile.</x:v>
      </x:c>
      <x:c r="G17" s="87" t="str">
        <x:v>Manual controls remain primary.</x:v>
      </x:c>
      <x:c r="H17" s="87" t="str">
        <x:v>triaged</x:v>
      </x:c>
    </x:row>
    <x:row r="18" ht="48" customHeight="1">
      <x:c r="A18" s="87" t="n">
        <x:v>14</x:v>
      </x:c>
      <x:c r="B18" s="87" t="str">
        <x:v>Gate 4</x:v>
      </x:c>
      <x:c r="C18" s="87" t="str">
        <x:v>ST-001</x:v>
      </x:c>
      <x:c r="D18" s="87" t="str">
        <x:v>Audit Sovereign Node invariants.</x:v>
      </x:c>
      <x:c r="E18" s="87" t="str">
        <x:v>Local-first, observable, reversible, composable and recoverable checks recorded.</x:v>
      </x:c>
      <x:c r="F18" s="87" t="str">
        <x:v>Current node access.</x:v>
      </x:c>
      <x:c r="G18" s="87" t="str">
        <x:v>Read-only checks first.</x:v>
      </x:c>
      <x:c r="H18" s="87" t="str">
        <x:v>triaged</x:v>
      </x:c>
    </x:row>
    <x:row r="19" ht="48" customHeight="1">
      <x:c r="A19" s="87" t="n">
        <x:v>15</x:v>
      </x:c>
      <x:c r="B19" s="87" t="str">
        <x:v>Gate 4</x:v>
      </x:c>
      <x:c r="C19" s="87" t="str">
        <x:v>ST-006</x:v>
      </x:c>
      <x:c r="D19" s="87" t="str">
        <x:v>Create read-only Kagemusha queue.</x:v>
      </x:c>
      <x:c r="E19" s="87" t="str">
        <x:v>Five commitments have source, dependency, draft, approval and follow-up state.</x:v>
      </x:c>
      <x:c r="F19" s="87" t="str">
        <x:v>Recipient resolution rules.</x:v>
      </x:c>
      <x:c r="G19" s="87" t="str">
        <x:v>No autonomous sending.</x:v>
      </x:c>
      <x:c r="H19" s="87" t="str">
        <x:v>triaged</x:v>
      </x:c>
    </x:row>
    <x:row r="20" ht="48" customHeight="1">
      <x:c r="A20" s="87" t="n">
        <x:v>16</x:v>
      </x:c>
      <x:c r="B20" s="87" t="str">
        <x:v>Gate 5</x:v>
      </x:c>
      <x:c r="C20" s="87" t="str">
        <x:v>WD-032</x:v>
      </x:c>
      <x:c r="D20" s="87" t="str">
        <x:v>Publish one operable artifact.</x:v>
      </x:c>
      <x:c r="E20" s="87" t="str">
        <x:v>Another person can use it and return information with source/status/fallback intact.</x:v>
      </x:c>
      <x:c r="F20" s="87" t="str">
        <x:v>One proven prior gate.</x:v>
      </x:c>
      <x:c r="G20" s="87" t="str">
        <x:v>No private source leakage.</x:v>
      </x:c>
      <x:c r="H20" s="87" t="str">
        <x:v>captured</x:v>
      </x:c>
    </x:row>
  </x:sheetData>
  <x:mergeCells>
    <x:mergeCell ref="A1:H1"/>
    <x:mergeCell ref="A2:H2"/>
  </x:mergeCells>
  <x:conditionalFormatting sqref="H5:H20">
    <x:cfRule type="containsText" dxfId="7" priority="1" operator="containsText" text="active"/>
  </x:conditionalFormatting>
  <x:dataValidations count="1">
    <x:dataValidation type="list" sqref="H5:H20">
      <x:formula1>"captured,triaged,staged,active,cooling down,reset,canonical,superseded,retired"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2b267ccb7a40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92" t="str">
        <x:v>State</x:v>
      </x:c>
      <x:c r="B1" s="92" t="str">
        <x:v>Epistemic Status</x:v>
      </x:c>
      <x:c r="C1" s="92" t="str">
        <x:v>Confirmation</x:v>
      </x:c>
      <x:c r="D1" s="92" t="str">
        <x:v>Priority</x:v>
      </x:c>
      <x:c r="E1" s="92" t="str">
        <x:v>Horizon</x:v>
      </x:c>
      <x:c r="F1" s="92" t="str">
        <x:v>Province</x:v>
      </x:c>
      <x:c r="G1" s="92" t="str">
        <x:v>Artifact Class</x:v>
      </x:c>
      <x:c r="H1" s="92" t="str">
        <x:v>Memory Tier</x:v>
      </x:c>
    </x:row>
    <x:row r="2">
      <x:c r="A2" s="91" t="str">
        <x:v>captured</x:v>
      </x:c>
      <x:c r="B2" s="91" t="str">
        <x:v>established</x:v>
      </x:c>
      <x:c r="C2" s="91" t="str">
        <x:v>confirmed artifact</x:v>
      </x:c>
      <x:c r="D2" s="91" t="str">
        <x:v>P0</x:v>
      </x:c>
      <x:c r="E2" s="91" t="str">
        <x:v>now</x:v>
      </x:c>
      <x:c r="F2" s="91" t="str">
        <x:v>Inner Governance</x:v>
      </x:c>
      <x:c r="G2" s="91" t="str">
        <x:v>constitution</x:v>
      </x:c>
      <x:c r="H2" s="91" t="str">
        <x:v>Ephemeral</x:v>
      </x:c>
    </x:row>
    <x:row r="3">
      <x:c r="A3" s="91" t="str">
        <x:v>triaged</x:v>
      </x:c>
      <x:c r="B3" s="91" t="str">
        <x:v>bounded evidence</x:v>
      </x:c>
      <x:c r="C3" s="91" t="str">
        <x:v>confirmed project</x:v>
      </x:c>
      <x:c r="D3" s="91" t="str">
        <x:v>P1</x:v>
      </x:c>
      <x:c r="E3" s="91" t="str">
        <x:v>next</x:v>
      </x:c>
      <x:c r="F3" s="91" t="str">
        <x:v>Knowledge Substrate</x:v>
      </x:c>
      <x:c r="G3" s="91" t="str">
        <x:v>dossier</x:v>
      </x:c>
      <x:c r="H3" s="91" t="str">
        <x:v>Working</x:v>
      </x:c>
    </x:row>
    <x:row r="4">
      <x:c r="A4" s="91" t="str">
        <x:v>staged</x:v>
      </x:c>
      <x:c r="B4" s="91" t="str">
        <x:v>testable hypothesis</x:v>
      </x:c>
      <x:c r="C4" s="91" t="str">
        <x:v>proposal only</x:v>
      </x:c>
      <x:c r="D4" s="91" t="str">
        <x:v>P2</x:v>
      </x:c>
      <x:c r="E4" s="91" t="str">
        <x:v>later</x:v>
      </x:c>
      <x:c r="F4" s="91" t="str">
        <x:v>Symbolic Language</x:v>
      </x:c>
      <x:c r="G4" s="91" t="str">
        <x:v>protocol</x:v>
      </x:c>
      <x:c r="H4" s="91" t="str">
        <x:v>Canonical</x:v>
      </x:c>
    </x:row>
    <x:row r="5">
      <x:c r="A5" s="91" t="str">
        <x:v>active</x:v>
      </x:c>
      <x:c r="B5" s="91" t="str">
        <x:v>adjacent-domain analogy</x:v>
      </x:c>
      <x:c r="C5" s="91" t="str">
        <x:v>unresolved</x:v>
      </x:c>
      <x:c r="D5" s="91" t="str">
        <x:v>P3</x:v>
      </x:c>
      <x:c r="E5" s="91" t="str">
        <x:v>hold</x:v>
      </x:c>
      <x:c r="F5" s="91" t="str">
        <x:v>Mythic and Poetic Engine</x:v>
      </x:c>
      <x:c r="G5" s="91" t="str">
        <x:v>registry</x:v>
      </x:c>
      <x:c r="H5" s="91"/>
    </x:row>
    <x:row r="6">
      <x:c r="A6" s="91" t="str">
        <x:v>cooling down</x:v>
      </x:c>
      <x:c r="B6" s="91" t="str">
        <x:v>metaphor</x:v>
      </x:c>
      <x:c r="C6" s="91"/>
      <x:c r="D6" s="91" t="str">
        <x:v>hold</x:v>
      </x:c>
      <x:c r="E6" s="91"/>
      <x:c r="F6" s="91" t="str">
        <x:v>Sovereign Toolchain</x:v>
      </x:c>
      <x:c r="G6" s="91" t="str">
        <x:v>prompt pack</x:v>
      </x:c>
      <x:c r="H6" s="91"/>
    </x:row>
    <x:row r="7">
      <x:c r="A7" s="91" t="str">
        <x:v>reset</x:v>
      </x:c>
      <x:c r="B7" s="91" t="str">
        <x:v>unknown</x:v>
      </x:c>
      <x:c r="C7" s="91"/>
      <x:c r="D7" s="91"/>
      <x:c r="E7" s="91"/>
      <x:c r="F7" s="91" t="str">
        <x:v>World Deployment</x:v>
      </x:c>
      <x:c r="G7" s="91" t="str">
        <x:v>code artifact</x:v>
      </x:c>
      <x:c r="H7" s="91"/>
    </x:row>
    <x:row r="8">
      <x:c r="A8" s="91" t="str">
        <x:v>canonical</x:v>
      </x:c>
      <x:c r="B8" s="91"/>
      <x:c r="C8" s="91"/>
      <x:c r="D8" s="91"/>
      <x:c r="E8" s="91"/>
      <x:c r="F8" s="91"/>
      <x:c r="G8" s="91" t="str">
        <x:v>dashboard</x:v>
      </x:c>
      <x:c r="H8" s="91"/>
    </x:row>
    <x:row r="9">
      <x:c r="A9" s="91" t="str">
        <x:v>superseded</x:v>
      </x:c>
      <x:c r="B9" s="91"/>
      <x:c r="C9" s="91"/>
      <x:c r="D9" s="91"/>
      <x:c r="E9" s="91"/>
      <x:c r="F9" s="91"/>
      <x:c r="G9" s="91" t="str">
        <x:v>canon page</x:v>
      </x:c>
      <x:c r="H9" s="91"/>
    </x:row>
    <x:row r="10">
      <x:c r="A10" s="91" t="str">
        <x:v>retired</x:v>
      </x:c>
      <x:c r="B10" s="91"/>
      <x:c r="C10" s="91"/>
      <x:c r="D10" s="91"/>
      <x:c r="E10" s="91"/>
      <x:c r="F10" s="91"/>
      <x:c r="G10" s="91" t="str">
        <x:v>fieldnote capture sheet</x:v>
      </x:c>
      <x:c r="H10" s="91"/>
    </x:row>
    <x:row r="11">
      <x:c r="A11" s="91"/>
      <x:c r="B11" s="91"/>
      <x:c r="C11" s="91"/>
      <x:c r="D11" s="91"/>
      <x:c r="E11" s="91"/>
      <x:c r="F11" s="91"/>
      <x:c r="G11" s="91" t="str">
        <x:v>physical cassette</x:v>
      </x:c>
      <x:c r="H11" s="91"/>
    </x:row>
    <x:row r="12">
      <x:c r="A12" s="91"/>
      <x:c r="B12" s="91"/>
      <x:c r="C12" s="91"/>
      <x:c r="D12" s="91"/>
      <x:c r="E12" s="91"/>
      <x:c r="F12" s="91"/>
      <x:c r="G12" s="91" t="str">
        <x:v>visual artifact</x:v>
      </x:c>
      <x:c r="H12" s="91"/>
    </x:row>
    <x:row r="13">
      <x:c r="A13" s="91"/>
      <x:c r="B13" s="91"/>
      <x:c r="C13" s="91"/>
      <x:c r="D13" s="91"/>
      <x:c r="E13" s="91"/>
      <x:c r="F13" s="91"/>
      <x:c r="G13" s="91" t="str">
        <x:v>dataset</x:v>
      </x:c>
      <x:c r="H13" s="91"/>
    </x:row>
    <x:row r="14">
      <x:c r="A14" s="91"/>
      <x:c r="B14" s="91"/>
      <x:c r="C14" s="91"/>
      <x:c r="D14" s="91"/>
      <x:c r="E14" s="91"/>
      <x:c r="F14" s="91"/>
      <x:c r="G14" s="91" t="str">
        <x:v>source document</x:v>
      </x:c>
      <x:c r="H14" s="91"/>
    </x:row>
    <x:row r="15">
      <x:c r="A15" s="91"/>
      <x:c r="B15" s="91"/>
      <x:c r="C15" s="91"/>
      <x:c r="D15" s="91"/>
      <x:c r="E15" s="91"/>
      <x:c r="F15" s="91"/>
      <x:c r="G15" s="91" t="str">
        <x:v>reader edition</x:v>
      </x:c>
      <x:c r="H15" s="91"/>
    </x:row>
    <x:row r="16">
      <x:c r="A16" s="91"/>
      <x:c r="B16" s="91"/>
      <x:c r="C16" s="91"/>
      <x:c r="D16" s="91"/>
      <x:c r="E16" s="91"/>
      <x:c r="F16" s="91"/>
      <x:c r="G16" s="91" t="str">
        <x:v>app</x:v>
      </x:c>
      <x:c r="H16" s="91"/>
    </x:row>
    <x:row r="17">
      <x:c r="A17" s="91"/>
      <x:c r="B17" s="91"/>
      <x:c r="C17" s="91"/>
      <x:c r="D17" s="91"/>
      <x:c r="E17" s="91"/>
      <x:c r="F17" s="91"/>
      <x:c r="G17" s="91" t="str">
        <x:v>system</x:v>
      </x:c>
      <x:c r="H17" s="9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18" hidden="0" customWidth="1"/>
    <x:col min="5" max="5" width="18" hidden="0" customWidth="1"/>
    <x:col min="6" max="6" width="26" hidden="0" customWidth="1"/>
    <x:col min="7" max="7" width="20" hidden="0" customWidth="1"/>
    <x:col min="8" max="8" width="28" hidden="0" customWidth="1"/>
  </x:cols>
  <x:sheetData>
    <x:row r="1" ht="28" customHeight="1">
      <x:c r="A1" s="124" t="str">
        <x:v>A003 · MISSINGNESS RECOVERY RUN 01</x:v>
      </x:c>
      <x:c r="B1" s="124" t="str">
        <x:v>A003 · MISSINGNESS RECOVERY RUN 01</x:v>
      </x:c>
      <x:c r="C1" s="124" t="str">
        <x:v>A003 · MISSINGNESS RECOVERY RUN 01</x:v>
      </x:c>
      <x:c r="D1" s="124" t="str">
        <x:v>A003 · MISSINGNESS RECOVERY RUN 01</x:v>
      </x:c>
      <x:c r="E1" s="124" t="str">
        <x:v>A003 · MISSINGNESS RECOVERY RUN 01</x:v>
      </x:c>
      <x:c r="F1" s="124" t="str">
        <x:v>A003 · MISSINGNESS RECOVERY RUN 01</x:v>
      </x:c>
      <x:c r="G1" s="124" t="str">
        <x:v>A003 · MISSINGNESS RECOVERY RUN 01</x:v>
      </x:c>
      <x:c r="H1" s="124" t="str">
        <x:v>A003 · MISSINGNESS RECOVERY RUN 01</x:v>
      </x:c>
    </x:row>
    <x:row r="2" ht="22" customHeight="1">
      <x:c r="A2" s="127" t="str">
        <x:v>Four declared gap classes searched · scoped absence preserved · canon promotions: 0</x:v>
      </x:c>
      <x:c r="B2" s="127" t="str">
        <x:v>Four declared gap classes searched · scoped absence preserved · canon promotions: 0</x:v>
      </x:c>
      <x:c r="C2" s="127" t="str">
        <x:v>Four declared gap classes searched · scoped absence preserved · canon promotions: 0</x:v>
      </x:c>
      <x:c r="D2" s="127" t="str">
        <x:v>Four declared gap classes searched · scoped absence preserved · canon promotions: 0</x:v>
      </x:c>
      <x:c r="E2" s="127" t="str">
        <x:v>Four declared gap classes searched · scoped absence preserved · canon promotions: 0</x:v>
      </x:c>
      <x:c r="F2" s="127" t="str">
        <x:v>Four declared gap classes searched · scoped absence preserved · canon promotions: 0</x:v>
      </x:c>
      <x:c r="G2" s="127" t="str">
        <x:v>Four declared gap classes searched · scoped absence preserved · canon promotions: 0</x:v>
      </x:c>
      <x:c r="H2" s="127" t="str">
        <x:v>Four declared gap classes searched · scoped absence preserved · canon promotions: 0</x:v>
      </x:c>
    </x:row>
    <x:row r="4" ht="24" customHeight="1">
      <x:c r="A4" s="134" t="str">
        <x:v>Measure</x:v>
      </x:c>
      <x:c r="B4" s="135" t="str">
        <x:v>Value</x:v>
      </x:c>
      <x:c r="D4" s="134" t="str">
        <x:v>Measure</x:v>
      </x:c>
      <x:c r="E4" s="135" t="str">
        <x:v>Value</x:v>
      </x:c>
      <x:c r="G4" s="134" t="str">
        <x:v>Decision</x:v>
      </x:c>
      <x:c r="H4" s="135" t="str">
        <x:v>Value</x:v>
      </x:c>
    </x:row>
    <x:row r="5">
      <x:c r="A5" s="142" t="str">
        <x:v>Conversation exports</x:v>
      </x:c>
      <x:c r="B5" s="142" t="n">
        <x:v>7</x:v>
      </x:c>
      <x:c r="C5" s="142"/>
      <x:c r="D5" s="142" t="str">
        <x:v>Gap-window hits</x:v>
      </x:c>
      <x:c r="E5" s="142" t="n">
        <x:v>0</x:v>
      </x:c>
      <x:c r="F5" s="142"/>
      <x:c r="G5" s="142" t="str">
        <x:v>Exit criterion</x:v>
      </x:c>
      <x:c r="H5" s="142" t="str">
        <x:v>PASS</x:v>
      </x:c>
    </x:row>
    <x:row r="6">
      <x:c r="A6" s="143" t="str">
        <x:v>Conversations</x:v>
      </x:c>
      <x:c r="B6" s="143" t="n">
        <x:v>604</x:v>
      </x:c>
      <x:c r="C6" s="143"/>
      <x:c r="D6" s="143" t="str">
        <x:v>Visual census</x:v>
      </x:c>
      <x:c r="E6" s="143" t="str">
        <x:v>200+</x:v>
      </x:c>
      <x:c r="F6" s="143"/>
      <x:c r="G6" s="143" t="str">
        <x:v>A003 state</x:v>
      </x:c>
      <x:c r="H6" s="143" t="str">
        <x:v>cooling down</x:v>
      </x:c>
    </x:row>
    <x:row r="7">
      <x:c r="A7" s="143" t="str">
        <x:v>Messages</x:v>
      </x:c>
      <x:c r="B7" s="143" t="n">
        <x:v>24821</x:v>
      </x:c>
      <x:c r="C7" s="143"/>
      <x:c r="D7" s="143" t="str">
        <x:v>OCR pilot files</x:v>
      </x:c>
      <x:c r="E7" s="143" t="n">
        <x:v>12</x:v>
      </x:c>
      <x:c r="F7" s="143"/>
      <x:c r="G7" s="143" t="str">
        <x:v>Next active</x:v>
      </x:c>
      <x:c r="H7" s="143" t="str">
        <x:v>A001</x:v>
      </x:c>
    </x:row>
    <x:row r="8">
      <x:c r="A8" s="143" t="str">
        <x:v>Known L-rows</x:v>
      </x:c>
      <x:c r="B8" s="143" t="n">
        <x:v>195</x:v>
      </x:c>
      <x:c r="C8" s="143"/>
      <x:c r="D8" s="143" t="str">
        <x:v>Readable/noisy OCR</x:v>
      </x:c>
      <x:c r="E8" s="143" t="n">
        <x:v>7</x:v>
      </x:c>
      <x:c r="F8" s="143"/>
      <x:c r="G8" s="143" t="str">
        <x:v>Canon promotions</x:v>
      </x:c>
      <x:c r="H8" s="143" t="n">
        <x:v>0</x:v>
      </x:c>
    </x:row>
    <x:row r="9">
      <x:c r="A9" s="143" t="str">
        <x:v>Exact strings compared</x:v>
      </x:c>
      <x:c r="B9" s="143" t="n">
        <x:v>255</x:v>
      </x:c>
      <x:c r="C9" s="143"/>
      <x:c r="D9" s="143" t="str">
        <x:v>OCR zero-results</x:v>
      </x:c>
      <x:c r="E9" s="143" t="n">
        <x:v>5</x:v>
      </x:c>
      <x:c r="F9" s="143"/>
      <x:c r="G9" s="143" t="str">
        <x:v>Completeness</x:v>
      </x:c>
      <x:c r="H9" s="143" t="str">
        <x:v>not established</x:v>
      </x:c>
    </x:row>
    <x:row r="10">
      <x:c r="A10" s="144" t="str">
        <x:v>Image pointers</x:v>
      </x:c>
      <x:c r="B10" s="144" t="n">
        <x:v>1446</x:v>
      </x:c>
      <x:c r="C10" s="144"/>
      <x:c r="D10" s="144" t="str">
        <x:v>Candidate returns</x:v>
      </x:c>
      <x:c r="E10" s="144" t="n">
        <x:v>23</x:v>
      </x:c>
      <x:c r="F10" s="144"/>
      <x:c r="G10" s="144" t="str">
        <x:v>Run ID</x:v>
      </x:c>
      <x:c r="H10" s="144" t="str">
        <x:v>A003-RUN-2026-08-09-01</x:v>
      </x:c>
    </x:row>
    <x:row r="12" ht="24" customHeight="1">
      <x:c r="A12" s="153" t="str">
        <x:v>FOUR-CLASS RESULT</x:v>
      </x:c>
      <x:c r="B12" s="154" t="str">
        <x:v>FOUR-CLASS RESULT</x:v>
      </x:c>
      <x:c r="C12" s="154" t="str">
        <x:v>FOUR-CLASS RESULT</x:v>
      </x:c>
      <x:c r="D12" s="154" t="str">
        <x:v>FOUR-CLASS RESULT</x:v>
      </x:c>
      <x:c r="E12" s="154" t="str">
        <x:v>FOUR-CLASS RESULT</x:v>
      </x:c>
      <x:c r="F12" s="154" t="str">
        <x:v>FOUR-CLASS RESULT</x:v>
      </x:c>
      <x:c r="G12" s="154" t="str">
        <x:v>FOUR-CLASS RESULT</x:v>
      </x:c>
      <x:c r="H12" s="155" t="str">
        <x:v>FOUR-CLASS RESULT</x:v>
      </x:c>
    </x:row>
    <x:row r="13" ht="24" customHeight="1">
      <x:c r="A13" s="164" t="str">
        <x:v>Gap</x:v>
      </x:c>
      <x:c r="B13" s="165" t="str">
        <x:v>Name</x:v>
      </x:c>
      <x:c r="C13" s="165" t="str">
        <x:v>Queries</x:v>
      </x:c>
      <x:c r="D13" s="165" t="str">
        <x:v>Zero-results</x:v>
      </x:c>
      <x:c r="E13" s="165" t="str">
        <x:v>Evidence returns</x:v>
      </x:c>
      <x:c r="F13" s="166" t="str">
        <x:v>Status</x:v>
      </x:c>
    </x:row>
    <x:row r="14">
      <x:c r="A14" s="142" t="str">
        <x:v>GAP-01</x:v>
      </x:c>
      <x:c r="B14" s="142" t="str">
        <x:v>Original Script Bank</x:v>
      </x:c>
      <x:c r="C14" s="142" t="n">
        <x:v>6</x:v>
      </x:c>
      <x:c r="D14" s="142" t="n">
        <x:v>0</x:v>
      </x:c>
      <x:c r="E14" s="142" t="n">
        <x:v>6</x:v>
      </x:c>
      <x:c r="F14" s="142" t="str">
        <x:v>returns-triaged</x:v>
      </x:c>
    </x:row>
    <x:row r="15">
      <x:c r="A15" s="143" t="str">
        <x:v>GAP-02</x:v>
      </x:c>
      <x:c r="B15" s="143" t="str">
        <x:v>2026-04-04→07-14 chronology</x:v>
      </x:c>
      <x:c r="C15" s="143" t="n">
        <x:v>6</x:v>
      </x:c>
      <x:c r="D15" s="143" t="n">
        <x:v>1</x:v>
      </x:c>
      <x:c r="E15" s="143" t="n">
        <x:v>5</x:v>
      </x:c>
      <x:c r="F15" s="143" t="str">
        <x:v>bounded-gap-confirmed</x:v>
      </x:c>
    </x:row>
    <x:row r="16">
      <x:c r="A16" s="143" t="str">
        <x:v>GAP-03</x:v>
      </x:c>
      <x:c r="B16" s="143" t="str">
        <x:v>Older / lost source families</x:v>
      </x:c>
      <x:c r="C16" s="143" t="n">
        <x:v>11</x:v>
      </x:c>
      <x:c r="D16" s="143" t="n">
        <x:v>0</x:v>
      </x:c>
      <x:c r="E16" s="143" t="n">
        <x:v>11</x:v>
      </x:c>
      <x:c r="F16" s="143" t="str">
        <x:v>returns-triaged</x:v>
      </x:c>
    </x:row>
    <x:row r="17">
      <x:c r="A17" s="144" t="str">
        <x:v>GAP-04</x:v>
      </x:c>
      <x:c r="B17" s="144" t="str">
        <x:v>Visual-only text</x:v>
      </x:c>
      <x:c r="C17" s="144" t="n">
        <x:v>19</x:v>
      </x:c>
      <x:c r="D17" s="144" t="n">
        <x:v>6</x:v>
      </x:c>
      <x:c r="E17" s="144" t="n">
        <x:v>13</x:v>
      </x:c>
      <x:c r="F17" s="144" t="str">
        <x:v>pilot-complete-more-remains</x:v>
      </x:c>
    </x:row>
    <x:row r="19" ht="50" customHeight="1">
      <x:c r="A19" s="172" t="str">
        <x:v>DECISION: Original Script Bank remains unresolved as an independent object. Exact-title hits are downstream references. The Apr–Jul window remains zero in the seven exports. Visual recovery is useful but incomplete and noisy.</x:v>
      </x:c>
      <x:c r="B19" s="173" t="str">
        <x:v>DECISION: Original Script Bank remains unresolved as an independent object. Exact-title hits are downstream references. The Apr–Jul window remains zero in the seven exports. Visual recovery is useful but incomplete and noisy.</x:v>
      </x:c>
      <x:c r="C19" s="173" t="str">
        <x:v>DECISION: Original Script Bank remains unresolved as an independent object. Exact-title hits are downstream references. The Apr–Jul window remains zero in the seven exports. Visual recovery is useful but incomplete and noisy.</x:v>
      </x:c>
      <x:c r="D19" s="173" t="str">
        <x:v>DECISION: Original Script Bank remains unresolved as an independent object. Exact-title hits are downstream references. The Apr–Jul window remains zero in the seven exports. Visual recovery is useful but incomplete and noisy.</x:v>
      </x:c>
      <x:c r="E19" s="173" t="str">
        <x:v>DECISION: Original Script Bank remains unresolved as an independent object. Exact-title hits are downstream references. The Apr–Jul window remains zero in the seven exports. Visual recovery is useful but incomplete and noisy.</x:v>
      </x:c>
      <x:c r="F19" s="173" t="str">
        <x:v>DECISION: Original Script Bank remains unresolved as an independent object. Exact-title hits are downstream references. The Apr–Jul window remains zero in the seven exports. Visual recovery is useful but incomplete and noisy.</x:v>
      </x:c>
      <x:c r="G19" s="173" t="str">
        <x:v>DECISION: Original Script Bank remains unresolved as an independent object. Exact-title hits are downstream references. The Apr–Jul window remains zero in the seven exports. Visual recovery is useful but incomplete and noisy.</x:v>
      </x:c>
      <x:c r="H19" s="174" t="str">
        <x:v>DECISION: Original Script Bank remains unresolved as an independent object. Exact-title hits are downstream references. The Apr–Jul window remains zero in the seven exports. Visual recovery is useful but incomplete and noisy.</x:v>
      </x:c>
    </x:row>
    <x:row r="21" ht="24" customHeight="1">
      <x:c r="A21" s="164" t="str">
        <x:v>RETURN LAW</x:v>
      </x:c>
      <x:c r="B21" s="165" t="str">
        <x:v>RETURN LAW</x:v>
      </x:c>
      <x:c r="C21" s="165" t="str">
        <x:v>RETURN LAW</x:v>
      </x:c>
      <x:c r="D21" s="165" t="str">
        <x:v>RETURN LAW</x:v>
      </x:c>
      <x:c r="E21" s="165" t="str">
        <x:v>RETURN LAW</x:v>
      </x:c>
      <x:c r="F21" s="165" t="str">
        <x:v>RETURN LAW</x:v>
      </x:c>
      <x:c r="G21" s="165" t="str">
        <x:v>RETURN LAW</x:v>
      </x:c>
      <x:c r="H21" s="166" t="str">
        <x:v>RETURN LAW</x:v>
      </x:c>
    </x:row>
    <x:row r="22" ht="30" customHeight="1">
      <x:c r="A22" s="142" t="n">
        <x:v>1</x:v>
      </x:c>
      <x:c r="B22" s="142" t="str">
        <x:v>Open the exact source.</x:v>
      </x:c>
    </x:row>
    <x:row r="23" ht="30" customHeight="1">
      <x:c r="A23" s="143" t="n">
        <x:v>2</x:v>
      </x:c>
      <x:c r="B23" s="143" t="str">
        <x:v>Verify wording, role, timestamp and family.</x:v>
      </x:c>
    </x:row>
    <x:row r="24" ht="30" customHeight="1">
      <x:c r="A24" s="143" t="n">
        <x:v>3</x:v>
      </x:c>
      <x:c r="B24" s="143" t="str">
        <x:v>Link variants; do not delete for similarity.</x:v>
      </x:c>
    </x:row>
    <x:row r="25" ht="30" customHeight="1">
      <x:c r="A25" s="143" t="n">
        <x:v>4</x:v>
      </x:c>
      <x:c r="B25" s="143" t="str">
        <x:v>Separate OCR confidence from source confidence.</x:v>
      </x:c>
    </x:row>
    <x:row r="26" ht="30" customHeight="1">
      <x:c r="A26" s="144" t="n">
        <x:v>5</x:v>
      </x:c>
      <x:c r="B26" s="144" t="str">
        <x:v>Propose a ledger row only after verification; canonization remains A002.</x:v>
      </x:c>
    </x:row>
  </x:sheetData>
  <x:mergeCells>
    <x:mergeCell ref="A1:H1"/>
    <x:mergeCell ref="A2:H2"/>
    <x:mergeCell ref="A12:H12"/>
    <x:mergeCell ref="A19:H19"/>
    <x:mergeCell ref="A21:H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34" hidden="0" customWidth="1"/>
    <x:col min="4" max="4" width="24" hidden="0" customWidth="1"/>
    <x:col min="5" max="5" width="32" hidden="0" customWidth="1"/>
    <x:col min="6" max="6" width="11" hidden="0" customWidth="1"/>
    <x:col min="7" max="7" width="23" hidden="0" customWidth="1"/>
    <x:col min="8" max="8" width="44" hidden="0" customWidth="1"/>
    <x:col min="9" max="9" width="52" hidden="0" customWidth="1"/>
  </x:cols>
  <x:sheetData>
    <x:row r="1" ht="28" customHeight="1">
      <x:c r="A1" s="124" t="str">
        <x:v>A003 · SEARCH AUDIT</x:v>
      </x:c>
      <x:c r="B1" s="124" t="str">
        <x:v>A003 · SEARCH AUDIT</x:v>
      </x:c>
      <x:c r="C1" s="124" t="str">
        <x:v>A003 · SEARCH AUDIT</x:v>
      </x:c>
      <x:c r="D1" s="124" t="str">
        <x:v>A003 · SEARCH AUDIT</x:v>
      </x:c>
      <x:c r="E1" s="124" t="str">
        <x:v>A003 · SEARCH AUDIT</x:v>
      </x:c>
      <x:c r="F1" s="124" t="str">
        <x:v>A003 · SEARCH AUDIT</x:v>
      </x:c>
      <x:c r="G1" s="124" t="str">
        <x:v>A003 · SEARCH AUDIT</x:v>
      </x:c>
      <x:c r="H1" s="124" t="str">
        <x:v>A003 · SEARCH AUDIT</x:v>
      </x:c>
      <x:c r="I1" s="124" t="str">
        <x:v>A003 · SEARCH AUDIT</x:v>
      </x:c>
    </x:row>
    <x:row r="2" ht="22" customHeight="1">
      <x:c r="A2" s="127" t="str">
        <x:v>42 logged tests · every zero-result is scope-bounded</x:v>
      </x:c>
      <x:c r="B2" s="127" t="str">
        <x:v>42 logged tests · every zero-result is scope-bounded</x:v>
      </x:c>
      <x:c r="C2" s="127" t="str">
        <x:v>42 logged tests · every zero-result is scope-bounded</x:v>
      </x:c>
      <x:c r="D2" s="127" t="str">
        <x:v>42 logged tests · every zero-result is scope-bounded</x:v>
      </x:c>
      <x:c r="E2" s="127" t="str">
        <x:v>42 logged tests · every zero-result is scope-bounded</x:v>
      </x:c>
      <x:c r="F2" s="127" t="str">
        <x:v>42 logged tests · every zero-result is scope-bounded</x:v>
      </x:c>
      <x:c r="G2" s="127" t="str">
        <x:v>42 logged tests · every zero-result is scope-bounded</x:v>
      </x:c>
      <x:c r="H2" s="127" t="str">
        <x:v>42 logged tests · every zero-result is scope-bounded</x:v>
      </x:c>
      <x:c r="I2" s="127" t="str">
        <x:v>42 logged tests · every zero-result is scope-bounded</x:v>
      </x:c>
    </x:row>
    <x:row r="4" ht="24" customHeight="1">
      <x:c r="A4" s="134" t="str">
        <x:v>Run ID</x:v>
      </x:c>
      <x:c r="B4" s="177" t="str">
        <x:v>Gap Class</x:v>
      </x:c>
      <x:c r="C4" s="177" t="str">
        <x:v>Query</x:v>
      </x:c>
      <x:c r="D4" s="177" t="str">
        <x:v>Method</x:v>
      </x:c>
      <x:c r="E4" s="177" t="str">
        <x:v>Source Scope</x:v>
      </x:c>
      <x:c r="F4" s="177" t="str">
        <x:v>Hit Count</x:v>
      </x:c>
      <x:c r="G4" s="177" t="str">
        <x:v>Result Status</x:v>
      </x:c>
      <x:c r="H4" s="177" t="str">
        <x:v>Top Refs</x:v>
      </x:c>
      <x:c r="I4" s="135" t="str">
        <x:v>Note</x:v>
      </x:c>
    </x:row>
    <x:row r="5" ht="42" customHeight="1">
      <x:c r="A5" s="142" t="str">
        <x:v>A003-RUN-2026-08-09-01</x:v>
      </x:c>
      <x:c r="B5" s="142" t="str">
        <x:v>GAP-01</x:v>
      </x:c>
      <x:c r="C5" s="142" t="str">
        <x:v>Laconic Script Bank</x:v>
      </x:c>
      <x:c r="D5" s="142" t="str">
        <x:v>exact-casefolded</x:v>
      </x:c>
      <x:c r="E5" s="142" t="str">
        <x:v>7 conversation exports / 24821 messages</x:v>
      </x:c>
      <x:c r="F5" s="142" t="n">
        <x:v>11</x:v>
      </x:c>
      <x:c r="G5" s="142" t="str">
        <x:v>evidence-returned</x:v>
      </x:c>
      <x:c r="H5" s="142" t="str">
        <x:v>conversations-001.json:Response Consolidation Strategy ; conversations-005.json:Inner OS Source Evaluation ; conversations-005.json:Inner OS Source Evaluation ; conversations-005.json:Work Inventory and Unification ; conversations-005.json:Work Inventory and Unification</x:v>
      </x:c>
      <x:c r="I5" s="142" t="str">
        <x:v>Return requires source-level review.</x:v>
      </x:c>
    </x:row>
    <x:row r="6" ht="42" customHeight="1">
      <x:c r="A6" s="143" t="str">
        <x:v>A003-RUN-2026-08-09-01</x:v>
      </x:c>
      <x:c r="B6" s="143" t="str">
        <x:v>GAP-01</x:v>
      </x:c>
      <x:c r="C6" s="143" t="str">
        <x:v>Iconic laconic responses</x:v>
      </x:c>
      <x:c r="D6" s="143" t="str">
        <x:v>exact-casefolded</x:v>
      </x:c>
      <x:c r="E6" s="143" t="str">
        <x:v>7 conversation exports / 24821 messages</x:v>
      </x:c>
      <x:c r="F6" s="143" t="n">
        <x:v>86</x:v>
      </x:c>
      <x:c r="G6" s="143" t="str">
        <x:v>evidence-returned</x:v>
      </x:c>
      <x:c r="H6" s="143" t="str">
        <x:v>conversations-001.json:Response Consolidation Strategy ; conversations-001.json:Response Consolidation Strategy ; conversations-001.json:Response Consolidation Strategy ; conversations-001.json:Response Consolidation Strategy ; conversations-004.json:Iconic laconic responses</x:v>
      </x:c>
      <x:c r="I6" s="143" t="str">
        <x:v>Return requires source-level review.</x:v>
      </x:c>
    </x:row>
    <x:row r="7" ht="42" customHeight="1">
      <x:c r="A7" s="143" t="str">
        <x:v>A003-RUN-2026-08-09-01</x:v>
      </x:c>
      <x:c r="B7" s="143" t="str">
        <x:v>GAP-01</x:v>
      </x:c>
      <x:c r="C7" s="143" t="str">
        <x:v>Response Consolidation Strategy</x:v>
      </x:c>
      <x:c r="D7" s="143" t="str">
        <x:v>exact-casefolded</x:v>
      </x:c>
      <x:c r="E7" s="143" t="str">
        <x:v>7 conversation exports / 24821 messages</x:v>
      </x:c>
      <x:c r="F7" s="143" t="n">
        <x:v>374</x:v>
      </x:c>
      <x:c r="G7" s="143" t="str">
        <x:v>evidence-returned</x:v>
      </x:c>
      <x:c r="H7" s="143" t="str">
        <x:v>conversations-001.json:Response Consolidation Strategy ; conversations-001.json:Response Consolidation Strategy ; conversations-001.json:Response Consolidation Strategy ; conversations-001.json:Response Consolidation Strategy ; conversations-001.json:Response Consolidation Strategy</x:v>
      </x:c>
      <x:c r="I7" s="143" t="str">
        <x:v>Return requires source-level review.</x:v>
      </x:c>
    </x:row>
    <x:row r="8" ht="42" customHeight="1">
      <x:c r="A8" s="143" t="str">
        <x:v>A003-RUN-2026-08-09-01</x:v>
      </x:c>
      <x:c r="B8" s="143" t="str">
        <x:v>GAP-01</x:v>
      </x:c>
      <x:c r="C8" s="143" t="str">
        <x:v>laconic responses</x:v>
      </x:c>
      <x:c r="D8" s="143" t="str">
        <x:v>exact-casefolded</x:v>
      </x:c>
      <x:c r="E8" s="143" t="str">
        <x:v>7 conversation exports / 24821 messages</x:v>
      </x:c>
      <x:c r="F8" s="143" t="n">
        <x:v>89</x:v>
      </x:c>
      <x:c r="G8" s="143" t="str">
        <x:v>evidence-returned</x:v>
      </x:c>
      <x:c r="H8" s="143" t="str">
        <x:v>conversations-001.json:Prison Age Meta-Game ; conversations-001.json:Prison Age Meta-Game ; conversations-001.json:Response Consolidation Strategy ; conversations-001.json:Response Consolidation Strategy ; conversations-001.json:Response Consolidation Strategy</x:v>
      </x:c>
      <x:c r="I8" s="143" t="str">
        <x:v>Return requires source-level review.</x:v>
      </x:c>
    </x:row>
    <x:row r="9" ht="42" customHeight="1">
      <x:c r="A9" s="143" t="str">
        <x:v>A003-RUN-2026-08-09-01</x:v>
      </x:c>
      <x:c r="B9" s="143" t="str">
        <x:v>GAP-01</x:v>
      </x:c>
      <x:c r="C9" s="143" t="str">
        <x:v>response bank</x:v>
      </x:c>
      <x:c r="D9" s="143" t="str">
        <x:v>exact-casefolded</x:v>
      </x:c>
      <x:c r="E9" s="143" t="str">
        <x:v>7 conversation exports / 24821 messages</x:v>
      </x:c>
      <x:c r="F9" s="143" t="n">
        <x:v>7</x:v>
      </x:c>
      <x:c r="G9" s="143" t="str">
        <x:v>evidence-returned</x:v>
      </x:c>
      <x:c r="H9" s="143" t="str">
        <x:v>conversations-001.json:Response Consolidation Strategy ; conversations-001.json:Response Consolidation Strategy ; conversations-001.json:Response Consolidation Strategy ; conversations-005.json:Work Inventory and Unification ; conversations-005.json:Work Inventory and Unification</x:v>
      </x:c>
      <x:c r="I9" s="143" t="str">
        <x:v>Return requires source-level review.</x:v>
      </x:c>
    </x:row>
    <x:row r="10" ht="42" customHeight="1">
      <x:c r="A10" s="143" t="str">
        <x:v>A003-RUN-2026-08-09-01</x:v>
      </x:c>
      <x:c r="B10" s="143" t="str">
        <x:v>GAP-01</x:v>
      </x:c>
      <x:c r="C10" s="143" t="str">
        <x:v>everyday deployable laconic one-liner response comeback canonical list</x:v>
      </x:c>
      <x:c r="D10" s="143" t="str">
        <x:v>token-overlap-semantic-lite</x:v>
      </x:c>
      <x:c r="E10" s="143" t="str">
        <x:v>7 conversation exports / 24821 messages</x:v>
      </x:c>
      <x:c r="F10" s="143" t="n">
        <x:v>20</x:v>
      </x:c>
      <x:c r="G10" s="143" t="str">
        <x:v>ranked-candidates</x:v>
      </x:c>
      <x:c r="H10" s="143" t="str">
        <x:v>conversations-001.json:Response Consolidation Strategy ; conversations-001.json:Response Consolidation Strategy ; conversations-001.json:Response Consolidation Strategy ; conversations-004.json:Iconic laconic responses ; conversations-001.json:Recursive Fables and Slothcakes</x:v>
      </x:c>
      <x:c r="I10" s="143" t="str">
        <x:v>Ranking is retrieval assistance, not evidence of identity, authorship or canon.</x:v>
      </x:c>
    </x:row>
    <x:row r="11" ht="42" customHeight="1">
      <x:c r="A11" s="143" t="str">
        <x:v>A003-RUN-2026-08-09-01</x:v>
      </x:c>
      <x:c r="B11" s="143" t="str">
        <x:v>GAP-02</x:v>
      </x:c>
      <x:c r="C11" s="143" t="str">
        <x:v>Council of Selves</x:v>
      </x:c>
      <x:c r="D11" s="143" t="str">
        <x:v>exact-casefolded</x:v>
      </x:c>
      <x:c r="E11" s="143" t="str">
        <x:v>7 conversation exports / 24821 messages</x:v>
      </x:c>
      <x:c r="F11" s="143" t="n">
        <x:v>124</x:v>
      </x:c>
      <x:c r="G11" s="143" t="str">
        <x:v>evidence-returned</x:v>
      </x:c>
      <x:c r="H11" s="143" t="str">
        <x:v>conversations-001.json:o1.. meh - Sleeper Universe Masterwork Creation ; conversations-001.json:Eh Me Insights ; conversations-001.json:Response Consolidation Strategy ; conversations-001.json:Response Consolidation Strategy ; conversations-001.json:Response Consolidation Strategy</x:v>
      </x:c>
      <x:c r="I11" s="143" t="str">
        <x:v>Return requires source-level review.</x:v>
      </x:c>
    </x:row>
    <x:row r="12" ht="42" customHeight="1">
      <x:c r="A12" s="143" t="str">
        <x:v>A003-RUN-2026-08-09-01</x:v>
      </x:c>
      <x:c r="B12" s="143" t="str">
        <x:v>GAP-02</x:v>
      </x:c>
      <x:c r="C12" s="143" t="str">
        <x:v>Inner OS</x:v>
      </x:c>
      <x:c r="D12" s="143" t="str">
        <x:v>exact-casefolded</x:v>
      </x:c>
      <x:c r="E12" s="143" t="str">
        <x:v>7 conversation exports / 24821 messages</x:v>
      </x:c>
      <x:c r="F12" s="143" t="n">
        <x:v>23</x:v>
      </x:c>
      <x:c r="G12" s="143" t="str">
        <x:v>evidence-returned</x:v>
      </x:c>
      <x:c r="H12" s="143" t="str">
        <x:v>conversations-001.json:Response Consolidation Strategy ; conversations-001.json:Response Consolidation Strategy ; conversations-001.json:Response Consolidation Strategy ; conversations-002.json:Reignite Jason's Power ; conversations-005.json:NotebookLM usage for legal</x:v>
      </x:c>
      <x:c r="I12" s="143" t="str">
        <x:v>Return requires source-level review.</x:v>
      </x:c>
    </x:row>
    <x:row r="13" ht="42" customHeight="1">
      <x:c r="A13" s="143" t="str">
        <x:v>A003-RUN-2026-08-09-01</x:v>
      </x:c>
      <x:c r="B13" s="143" t="str">
        <x:v>GAP-02</x:v>
      </x:c>
      <x:c r="C13" s="143" t="str">
        <x:v>Laconic</x:v>
      </x:c>
      <x:c r="D13" s="143" t="str">
        <x:v>exact-casefolded</x:v>
      </x:c>
      <x:c r="E13" s="143" t="str">
        <x:v>7 conversation exports / 24821 messages</x:v>
      </x:c>
      <x:c r="F13" s="143" t="n">
        <x:v>263</x:v>
      </x:c>
      <x:c r="G13" s="143" t="str">
        <x:v>evidence-returned</x:v>
      </x:c>
      <x:c r="H13" s="143" t="str">
        <x:v>conversations-001.json:Document absorption summary ; conversations-001.json:Recursive Fables and Slothcakes ; conversations-001.json:Recursive Fables and Slothcakes ; conversations-001.json:Recursive Fables and Slothcakes ; conversations-001.json:Recursive Fables and Slothcakes</x:v>
      </x:c>
      <x:c r="I13" s="143" t="str">
        <x:v>Return requires source-level review.</x:v>
      </x:c>
    </x:row>
    <x:row r="14" ht="42" customHeight="1">
      <x:c r="A14" s="143" t="str">
        <x:v>A003-RUN-2026-08-09-01</x:v>
      </x:c>
      <x:c r="B14" s="143" t="str">
        <x:v>GAP-02</x:v>
      </x:c>
      <x:c r="C14" s="143" t="str">
        <x:v>Sleeper</x:v>
      </x:c>
      <x:c r="D14" s="143" t="str">
        <x:v>exact-casefolded</x:v>
      </x:c>
      <x:c r="E14" s="143" t="str">
        <x:v>7 conversation exports / 24821 messages</x:v>
      </x:c>
      <x:c r="F14" s="143" t="n">
        <x:v>664</x:v>
      </x:c>
      <x:c r="G14" s="143" t="str">
        <x:v>evidence-returned</x:v>
      </x:c>
      <x:c r="H14" s="143" t="str">
        <x:v>conversations-000.json:Suno Song Lyrics Prompt ; conversations-001.json:Poetic Rhythm Extraction ; conversations-001.json:Poetic Rhythm Extraction ; conversations-001.json:Poetic Rhythm Extraction ; conversations-001.json:Poetic Rhythm Extraction</x:v>
      </x:c>
      <x:c r="I14" s="143" t="str">
        <x:v>Return requires source-level review.</x:v>
      </x:c>
    </x:row>
    <x:row r="15" ht="42" customHeight="1">
      <x:c r="A15" s="143" t="str">
        <x:v>A003-RUN-2026-08-09-01</x:v>
      </x:c>
      <x:c r="B15" s="143" t="str">
        <x:v>GAP-02</x:v>
      </x:c>
      <x:c r="C15" s="143" t="str">
        <x:v>Council Inner OS Laconic Sleeper April May June July 2026</x:v>
      </x:c>
      <x:c r="D15" s="143" t="str">
        <x:v>token-overlap-semantic-lite</x:v>
      </x:c>
      <x:c r="E15" s="143" t="str">
        <x:v>7 conversation exports / 24821 messages</x:v>
      </x:c>
      <x:c r="F15" s="143" t="n">
        <x:v>20</x:v>
      </x:c>
      <x:c r="G15" s="143" t="str">
        <x:v>ranked-candidates</x:v>
      </x:c>
      <x:c r="H15" s="143" t="str">
        <x:v>conversations-004.json:Project folder access ; conversations-001.json:Eh Me Insights ; conversations-005.json:Work Inventory and Unification ; conversations-004.json:Project folder access ; conversations-005.json:Project Reconstruction Guide</x:v>
      </x:c>
      <x:c r="I15" s="143" t="str">
        <x:v>Ranking is retrieval assistance, not evidence of identity, authorship or canon.</x:v>
      </x:c>
    </x:row>
    <x:row r="16" ht="42" customHeight="1">
      <x:c r="A16" s="143" t="str">
        <x:v>A003-RUN-2026-08-09-01</x:v>
      </x:c>
      <x:c r="B16" s="143" t="str">
        <x:v>GAP-03</x:v>
      </x:c>
      <x:c r="C16" s="143" t="str">
        <x:v>PRISON AGE</x:v>
      </x:c>
      <x:c r="D16" s="143" t="str">
        <x:v>exact-casefolded</x:v>
      </x:c>
      <x:c r="E16" s="143" t="str">
        <x:v>7 conversation exports / 24821 messages</x:v>
      </x:c>
      <x:c r="F16" s="143" t="n">
        <x:v>487</x:v>
      </x:c>
      <x:c r="G16" s="143" t="str">
        <x:v>evidence-returned</x:v>
      </x:c>
      <x:c r="H16" s="143" t="str">
        <x:v>conversations-001.json:Document absorption summary ; conversations-001.json:Spiral Symbolism Literary Analysis ; conversations-001.json:Ode to O3 ; conversations-001.json:Ode to O3 ; conversations-001.json:Ode to O3</x:v>
      </x:c>
      <x:c r="I16" s="143" t="str">
        <x:v>Return requires source-level review.</x:v>
      </x:c>
    </x:row>
    <x:row r="17" ht="42" customHeight="1">
      <x:c r="A17" s="143" t="str">
        <x:v>A003-RUN-2026-08-09-01</x:v>
      </x:c>
      <x:c r="B17" s="143" t="str">
        <x:v>GAP-03</x:v>
      </x:c>
      <x:c r="C17" s="143" t="str">
        <x:v>9 gate city</x:v>
      </x:c>
      <x:c r="D17" s="143" t="str">
        <x:v>exact-casefolded</x:v>
      </x:c>
      <x:c r="E17" s="143" t="str">
        <x:v>7 conversation exports / 24821 messages</x:v>
      </x:c>
      <x:c r="F17" s="143" t="n">
        <x:v>1</x:v>
      </x:c>
      <x:c r="G17" s="143" t="str">
        <x:v>evidence-returned</x:v>
      </x:c>
      <x:c r="H17" s="143" t="str">
        <x:v>conversations-001.json:Document absorption summary</x:v>
      </x:c>
      <x:c r="I17" s="143" t="str">
        <x:v>Return requires source-level review.</x:v>
      </x:c>
    </x:row>
    <x:row r="18" ht="42" customHeight="1">
      <x:c r="A18" s="143" t="str">
        <x:v>A003-RUN-2026-08-09-01</x:v>
      </x:c>
      <x:c r="B18" s="143" t="str">
        <x:v>GAP-03</x:v>
      </x:c>
      <x:c r="C18" s="143" t="str">
        <x:v>Season 14</x:v>
      </x:c>
      <x:c r="D18" s="143" t="str">
        <x:v>exact-casefolded</x:v>
      </x:c>
      <x:c r="E18" s="143" t="str">
        <x:v>7 conversation exports / 24821 messages</x:v>
      </x:c>
      <x:c r="F18" s="143" t="n">
        <x:v>4</x:v>
      </x:c>
      <x:c r="G18" s="143" t="str">
        <x:v>evidence-returned</x:v>
      </x:c>
      <x:c r="H18" s="143" t="str">
        <x:v>conversations-001.json:Ode to O3 ; conversations-001.json:Ode to O3 ; conversations-001.json:Ode to O3 ; conversations-001.json:Ode to O3</x:v>
      </x:c>
      <x:c r="I18" s="143" t="str">
        <x:v>Return requires source-level review.</x:v>
      </x:c>
    </x:row>
    <x:row r="19" ht="42" customHeight="1">
      <x:c r="A19" s="143" t="str">
        <x:v>A003-RUN-2026-08-09-01</x:v>
      </x:c>
      <x:c r="B19" s="143" t="str">
        <x:v>GAP-03</x:v>
      </x:c>
      <x:c r="C19" s="143" t="str">
        <x:v>G.O.A.T.E.E.</x:v>
      </x:c>
      <x:c r="D19" s="143" t="str">
        <x:v>exact-casefolded</x:v>
      </x:c>
      <x:c r="E19" s="143" t="str">
        <x:v>7 conversation exports / 24821 messages</x:v>
      </x:c>
      <x:c r="F19" s="143" t="n">
        <x:v>2</x:v>
      </x:c>
      <x:c r="G19" s="143" t="str">
        <x:v>evidence-returned</x:v>
      </x:c>
      <x:c r="H19" s="143" t="str">
        <x:v>conversations-001.json:Ode to O3 ; conversations-001.json:Ode to O3</x:v>
      </x:c>
      <x:c r="I19" s="143" t="str">
        <x:v>Return requires source-level review.</x:v>
      </x:c>
    </x:row>
    <x:row r="20" ht="42" customHeight="1">
      <x:c r="A20" s="143" t="str">
        <x:v>A003-RUN-2026-08-09-01</x:v>
      </x:c>
      <x:c r="B20" s="143" t="str">
        <x:v>GAP-03</x:v>
      </x:c>
      <x:c r="C20" s="143" t="str">
        <x:v>Sleeper Floating</x:v>
      </x:c>
      <x:c r="D20" s="143" t="str">
        <x:v>exact-casefolded</x:v>
      </x:c>
      <x:c r="E20" s="143" t="str">
        <x:v>7 conversation exports / 24821 messages</x:v>
      </x:c>
      <x:c r="F20" s="143" t="n">
        <x:v>11</x:v>
      </x:c>
      <x:c r="G20" s="143" t="str">
        <x:v>evidence-returned</x:v>
      </x:c>
      <x:c r="H20" s="143" t="str">
        <x:v>conversations-001.json:Spiral Symbolism Literary Analysis ; conversations-001.json:Spiral Symbolism Literary Analysis ; conversations-001.json:Sleeper Story Enhancement ; conversations-001.json:Sleeper Story Enhancement ; conversations-001.json:Sleeper Story Enhancement</x:v>
      </x:c>
      <x:c r="I20" s="143" t="str">
        <x:v>Return requires source-level review.</x:v>
      </x:c>
    </x:row>
    <x:row r="21" ht="42" customHeight="1">
      <x:c r="A21" s="143" t="str">
        <x:v>A003-RUN-2026-08-09-01</x:v>
      </x:c>
      <x:c r="B21" s="143" t="str">
        <x:v>GAP-03</x:v>
      </x:c>
      <x:c r="C21" s="143" t="str">
        <x:v>Go Fly Kite</x:v>
      </x:c>
      <x:c r="D21" s="143" t="str">
        <x:v>exact-casefolded</x:v>
      </x:c>
      <x:c r="E21" s="143" t="str">
        <x:v>7 conversation exports / 24821 messages</x:v>
      </x:c>
      <x:c r="F21" s="143" t="n">
        <x:v>4</x:v>
      </x:c>
      <x:c r="G21" s="143" t="str">
        <x:v>evidence-returned</x:v>
      </x:c>
      <x:c r="H21" s="143" t="str">
        <x:v>conversations-001.json:Spiral Symbolism Literary Analysis ; conversations-001.json:Spiral Symbolism Literary Analysis ; conversations-001.json:Spiral Symbolism Literary Analysis ; conversations-005.json:Sleeper Universe Spec</x:v>
      </x:c>
      <x:c r="I21" s="143" t="str">
        <x:v>Return requires source-level review.</x:v>
      </x:c>
    </x:row>
    <x:row r="22" ht="42" customHeight="1">
      <x:c r="A22" s="143" t="str">
        <x:v>A003-RUN-2026-08-09-01</x:v>
      </x:c>
      <x:c r="B22" s="143" t="str">
        <x:v>GAP-03</x:v>
      </x:c>
      <x:c r="C22" s="143" t="str">
        <x:v>Slothcake</x:v>
      </x:c>
      <x:c r="D22" s="143" t="str">
        <x:v>exact-casefolded</x:v>
      </x:c>
      <x:c r="E22" s="143" t="str">
        <x:v>7 conversation exports / 24821 messages</x:v>
      </x:c>
      <x:c r="F22" s="143" t="n">
        <x:v>718</x:v>
      </x:c>
      <x:c r="G22" s="143" t="str">
        <x:v>evidence-returned</x:v>
      </x:c>
      <x:c r="H22" s="143" t="str">
        <x:v>conversations-001.json:Recursive Fables and Slothcakes ; conversations-001.json:Recursive Fables and Slothcakes ; conversations-001.json:Recursive Fables and Slothcakes ; conversations-001.json:Recursive Fables and Slothcakes ; conversations-001.json:Recursive Fables and Slothcakes</x:v>
      </x:c>
      <x:c r="I22" s="143" t="str">
        <x:v>Return requires source-level review.</x:v>
      </x:c>
    </x:row>
    <x:row r="23" ht="42" customHeight="1">
      <x:c r="A23" s="143" t="str">
        <x:v>A003-RUN-2026-08-09-01</x:v>
      </x:c>
      <x:c r="B23" s="143" t="str">
        <x:v>GAP-03</x:v>
      </x:c>
      <x:c r="C23" s="143" t="str">
        <x:v>Eeper</x:v>
      </x:c>
      <x:c r="D23" s="143" t="str">
        <x:v>exact-casefolded</x:v>
      </x:c>
      <x:c r="E23" s="143" t="str">
        <x:v>7 conversation exports / 24821 messages</x:v>
      </x:c>
      <x:c r="F23" s="143" t="n">
        <x:v>9</x:v>
      </x:c>
      <x:c r="G23" s="143" t="str">
        <x:v>evidence-returned</x:v>
      </x:c>
      <x:c r="H23" s="143" t="str">
        <x:v>conversations-001.json:Spiral Symbolism Literary Analysis ; conversations-001.json:Spiral Symbolism Literary Analysis ; conversations-001.json:Spiral Symbolism Literary Analysis ; conversations-001.json:Spiral Symbolism Literary Analysis ; conversations-001.json:Spiral Symbolism Literary Analysis</x:v>
      </x:c>
      <x:c r="I23" s="143" t="str">
        <x:v>Return requires source-level review.</x:v>
      </x:c>
    </x:row>
    <x:row r="24" ht="42" customHeight="1">
      <x:c r="A24" s="143" t="str">
        <x:v>A003-RUN-2026-08-09-01</x:v>
      </x:c>
      <x:c r="B24" s="143" t="str">
        <x:v>GAP-03</x:v>
      </x:c>
      <x:c r="C24" s="143" t="str">
        <x:v>Aker</x:v>
      </x:c>
      <x:c r="D24" s="143" t="str">
        <x:v>exact-casefolded</x:v>
      </x:c>
      <x:c r="E24" s="143" t="str">
        <x:v>7 conversation exports / 24821 messages</x:v>
      </x:c>
      <x:c r="F24" s="143" t="n">
        <x:v>6</x:v>
      </x:c>
      <x:c r="G24" s="143" t="str">
        <x:v>evidence-returned</x:v>
      </x:c>
      <x:c r="H24" s="143" t="str">
        <x:v>conversations-001.json:Spiral Symbolism Literary Analysis ; conversations-001.json:Spiral Symbolism Literary Analysis ; conversations-001.json:Spiral Symbolism Literary Analysis ; conversations-005.json:Sleeper Universe Spec ; conversations-005.json:Sleeper Universe Spec</x:v>
      </x:c>
      <x:c r="I24" s="143" t="str">
        <x:v>Return requires source-level review.</x:v>
      </x:c>
    </x:row>
    <x:row r="25" ht="42" customHeight="1">
      <x:c r="A25" s="143" t="str">
        <x:v>A003-RUN-2026-08-09-01</x:v>
      </x:c>
      <x:c r="B25" s="143" t="str">
        <x:v>GAP-03</x:v>
      </x:c>
      <x:c r="C25" s="143" t="str">
        <x:v>MOSS</x:v>
      </x:c>
      <x:c r="D25" s="143" t="str">
        <x:v>exact-casefolded</x:v>
      </x:c>
      <x:c r="E25" s="143" t="str">
        <x:v>7 conversation exports / 24821 messages</x:v>
      </x:c>
      <x:c r="F25" s="143" t="n">
        <x:v>63</x:v>
      </x:c>
      <x:c r="G25" s="143" t="str">
        <x:v>evidence-returned</x:v>
      </x:c>
      <x:c r="H25" s="143" t="str">
        <x:v>conversations-000.json:Optometrist Jokes and Contact ; conversations-001.json:Song Lyric Analysis ; conversations-001.json:Document absorption summary ; conversations-001.json:Spiral Symbolism Literary Analysis ; conversations-001.json:Spiral Symbolism Literary Analysis</x:v>
      </x:c>
      <x:c r="I25" s="143" t="str">
        <x:v>Return requires source-level review.</x:v>
      </x:c>
    </x:row>
    <x:row r="26" ht="42" customHeight="1">
      <x:c r="A26" s="143" t="str">
        <x:v>A003-RUN-2026-08-09-01</x:v>
      </x:c>
      <x:c r="B26" s="143" t="str">
        <x:v>GAP-03</x:v>
      </x:c>
      <x:c r="C26" s="143" t="str">
        <x:v>Prison Age seasons Sleeper Floating Kite Slothcake Eeper Aker MOSS original registry</x:v>
      </x:c>
      <x:c r="D26" s="143" t="str">
        <x:v>token-overlap-semantic-lite</x:v>
      </x:c>
      <x:c r="E26" s="143" t="str">
        <x:v>7 conversation exports / 24821 messages</x:v>
      </x:c>
      <x:c r="F26" s="143" t="n">
        <x:v>20</x:v>
      </x:c>
      <x:c r="G26" s="143" t="str">
        <x:v>ranked-candidates</x:v>
      </x:c>
      <x:c r="H26" s="143" t="str">
        <x:v>conversations-001.json:Ode to O3 ; conversations-001.json:Prison Age Meta-Game ; conversations-001.json:Prison Age Meta-Game ; conversations-001.json:Prison Age Meta-Game ; conversations-001.json:Ode to O3</x:v>
      </x:c>
      <x:c r="I26" s="143" t="str">
        <x:v>Ranking is retrieval assistance, not evidence of identity, authorship or canon.</x:v>
      </x:c>
    </x:row>
    <x:row r="27" ht="42" customHeight="1">
      <x:c r="A27" s="143" t="str">
        <x:v>A003-RUN-2026-08-09-01</x:v>
      </x:c>
      <x:c r="B27" s="143" t="str">
        <x:v>GAP-04</x:v>
      </x:c>
      <x:c r="C27" s="143" t="str">
        <x:v>poster</x:v>
      </x:c>
      <x:c r="D27" s="143" t="str">
        <x:v>exact-casefolded</x:v>
      </x:c>
      <x:c r="E27" s="143" t="str">
        <x:v>7 conversation exports / 24821 messages</x:v>
      </x:c>
      <x:c r="F27" s="143" t="n">
        <x:v>952</x:v>
      </x:c>
      <x:c r="G27" s="143" t="str">
        <x:v>evidence-returned</x:v>
      </x:c>
      <x:c r="H27" s="143" t="str">
        <x:v>conversations-000.json:Project Assistance Options ; conversations-000.json:Project Assistance Options ; conversations-000.json:Project Assistance Options ; conversations-001.json:Spiral Symbolism Literary Analysis ; conversations-001.json:Recursive Fables and Slothcakes</x:v>
      </x:c>
      <x:c r="I27" s="143" t="str">
        <x:v>Return requires source-level review.</x:v>
      </x:c>
    </x:row>
    <x:row r="28" ht="42" customHeight="1">
      <x:c r="A28" s="143" t="str">
        <x:v>A003-RUN-2026-08-09-01</x:v>
      </x:c>
      <x:c r="B28" s="143" t="str">
        <x:v>GAP-04</x:v>
      </x:c>
      <x:c r="C28" s="143" t="str">
        <x:v>mural</x:v>
      </x:c>
      <x:c r="D28" s="143" t="str">
        <x:v>exact-casefolded</x:v>
      </x:c>
      <x:c r="E28" s="143" t="str">
        <x:v>7 conversation exports / 24821 messages</x:v>
      </x:c>
      <x:c r="F28" s="143" t="n">
        <x:v>645</x:v>
      </x:c>
      <x:c r="G28" s="143" t="str">
        <x:v>evidence-returned</x:v>
      </x:c>
      <x:c r="H28" s="143" t="str">
        <x:v>conversations-000.json:Code Help Offered ; conversations-000.json:Code Help Offered ; conversations-000.json:Code Help Offered ; conversations-000.json:Code Help Offered ; conversations-000.json:Code Help Offered</x:v>
      </x:c>
      <x:c r="I28" s="143" t="str">
        <x:v>Return requires source-level review.</x:v>
      </x:c>
    </x:row>
    <x:row r="29" ht="42" customHeight="1">
      <x:c r="A29" s="143" t="str">
        <x:v>A003-RUN-2026-08-09-01</x:v>
      </x:c>
      <x:c r="B29" s="143" t="str">
        <x:v>GAP-04</x:v>
      </x:c>
      <x:c r="C29" s="143" t="str">
        <x:v>glyph</x:v>
      </x:c>
      <x:c r="D29" s="143" t="str">
        <x:v>exact-casefolded</x:v>
      </x:c>
      <x:c r="E29" s="143" t="str">
        <x:v>7 conversation exports / 24821 messages</x:v>
      </x:c>
      <x:c r="F29" s="143" t="n">
        <x:v>1395</x:v>
      </x:c>
      <x:c r="G29" s="143" t="str">
        <x:v>evidence-returned</x:v>
      </x:c>
      <x:c r="H29" s="143" t="str">
        <x:v>conversations-000.json:Anagrams: 64 Leungwaimun! ; conversations-000.json:Code Help Offered ; conversations-000.json:Code Help Offered ; conversations-000.json:Code Help Offered ; conversations-000.json:Systematic Glyph Design</x:v>
      </x:c>
      <x:c r="I29" s="143" t="str">
        <x:v>Return requires source-level review.</x:v>
      </x:c>
    </x:row>
    <x:row r="30" ht="42" customHeight="1">
      <x:c r="A30" s="143" t="str">
        <x:v>A003-RUN-2026-08-09-01</x:v>
      </x:c>
      <x:c r="B30" s="143" t="str">
        <x:v>GAP-04</x:v>
      </x:c>
      <x:c r="C30" s="143" t="str">
        <x:v>inscribe</x:v>
      </x:c>
      <x:c r="D30" s="143" t="str">
        <x:v>exact-casefolded</x:v>
      </x:c>
      <x:c r="E30" s="143" t="str">
        <x:v>7 conversation exports / 24821 messages</x:v>
      </x:c>
      <x:c r="F30" s="143" t="n">
        <x:v>44</x:v>
      </x:c>
      <x:c r="G30" s="143" t="str">
        <x:v>evidence-returned</x:v>
      </x:c>
      <x:c r="H30" s="143" t="str">
        <x:v>conversations-001.json:Recursive Fables and Slothcakes ; conversations-001.json:Ode to O3 ; conversations-001.json:Ode to O3 ; conversations-001.json:Prison Age Meta-Game ; conversations-001.json:Zhou Dunyi Teachings Guide</x:v>
      </x:c>
      <x:c r="I30" s="143" t="str">
        <x:v>Return requires source-level review.</x:v>
      </x:c>
    </x:row>
    <x:row r="31" ht="42" customHeight="1">
      <x:c r="A31" s="143" t="str">
        <x:v>A003-RUN-2026-08-09-01</x:v>
      </x:c>
      <x:c r="B31" s="143" t="str">
        <x:v>GAP-04</x:v>
      </x:c>
      <x:c r="C31" s="143" t="str">
        <x:v>tagline</x:v>
      </x:c>
      <x:c r="D31" s="143" t="str">
        <x:v>exact-casefolded</x:v>
      </x:c>
      <x:c r="E31" s="143" t="str">
        <x:v>7 conversation exports / 24821 messages</x:v>
      </x:c>
      <x:c r="F31" s="143" t="n">
        <x:v>136</x:v>
      </x:c>
      <x:c r="G31" s="143" t="str">
        <x:v>evidence-returned</x:v>
      </x:c>
      <x:c r="H31" s="143" t="str">
        <x:v>conversations-001.json:Spiral Symbolism Literary Analysis ; conversations-001.json:Recursive Fables and Slothcakes ; conversations-001.json:Recursive Fables and Slothcakes ; conversations-001.json:Recursive Fables and Slothcakes ; conversations-001.json:Recursive Fables and Slothcakes</x:v>
      </x:c>
      <x:c r="I31" s="143" t="str">
        <x:v>Return requires source-level review.</x:v>
      </x:c>
    </x:row>
    <x:row r="32" ht="42" customHeight="1">
      <x:c r="A32" s="143" t="str">
        <x:v>A003-RUN-2026-08-09-01</x:v>
      </x:c>
      <x:c r="B32" s="143" t="str">
        <x:v>GAP-04</x:v>
      </x:c>
      <x:c r="C32" s="143" t="str">
        <x:v>image_asset_pointer</x:v>
      </x:c>
      <x:c r="D32" s="143" t="str">
        <x:v>exact-casefolded</x:v>
      </x:c>
      <x:c r="E32" s="143" t="str">
        <x:v>7 conversation exports / 24821 messages</x:v>
      </x:c>
      <x:c r="F32" s="143" t="n">
        <x:v>0</x:v>
      </x:c>
      <x:c r="G32" s="143" t="str">
        <x:v>auditable-zero-result</x:v>
      </x:c>
      <x:c r="H32" s="143" t="str"/>
      <x:c r="I32" s="143" t="str">
        <x:v>Zero applies only to current exported scope; it is not proof of global absence.</x:v>
      </x:c>
    </x:row>
    <x:row r="33" ht="42" customHeight="1">
      <x:c r="A33" s="143" t="str">
        <x:v>A003-RUN-2026-08-09-01</x:v>
      </x:c>
      <x:c r="B33" s="143" t="str">
        <x:v>GAP-04</x:v>
      </x:c>
      <x:c r="C33" s="143" t="str">
        <x:v>poster mural glyph inscription visual text caption image</x:v>
      </x:c>
      <x:c r="D33" s="143" t="str">
        <x:v>token-overlap-semantic-lite</x:v>
      </x:c>
      <x:c r="E33" s="143" t="str">
        <x:v>7 conversation exports / 24821 messages</x:v>
      </x:c>
      <x:c r="F33" s="143" t="n">
        <x:v>20</x:v>
      </x:c>
      <x:c r="G33" s="143" t="str">
        <x:v>ranked-candidates</x:v>
      </x:c>
      <x:c r="H33" s="143" t="str">
        <x:v>conversations-002.json:Mural Design and Space Flow ; conversations-000.json:Systematic Glyph Design ; conversations-001.json:Slothcake Universe Poster Design ; conversations-001.json:Recursive Fables and Slothcakes ; conversations-001.json:Ode to O3</x:v>
      </x:c>
      <x:c r="I33" s="143" t="str">
        <x:v>Ranking is retrieval assistance, not evidence of identity, authorship or canon.</x:v>
      </x:c>
    </x:row>
    <x:row r="34" ht="42" customHeight="1">
      <x:c r="A34" s="143" t="str">
        <x:v>A003-RUN-2026-08-09-01</x:v>
      </x:c>
      <x:c r="B34" s="143" t="str">
        <x:v>GAP-02</x:v>
      </x:c>
      <x:c r="C34" s="143" t="str">
        <x:v>message timestamps inside 2026-04-04→2026-07-14 SGT</x:v>
      </x:c>
      <x:c r="D34" s="143" t="str">
        <x:v>parsed-unix-timestamp-census</x:v>
      </x:c>
      <x:c r="E34" s="143" t="str">
        <x:v>7 conversation exports / 24821 messages</x:v>
      </x:c>
      <x:c r="F34" s="143" t="n">
        <x:v>0</x:v>
      </x:c>
      <x:c r="G34" s="143" t="str">
        <x:v>auditable-zero-result</x:v>
      </x:c>
      <x:c r="H34" s="143" t="str"/>
      <x:c r="I34" s="143" t="str">
        <x:v>Confirms the bounded gap only within these export files; does not infer that no source exists elsewhere.</x:v>
      </x:c>
    </x:row>
    <x:row r="35" ht="42" customHeight="1">
      <x:c r="A35" s="143" t="str">
        <x:v>A003-RUN-2026-08-09-01</x:v>
      </x:c>
      <x:c r="B35" s="143" t="str">
        <x:v>GAP-04</x:v>
      </x:c>
      <x:c r="C35" s="143" t="str">
        <x:v>Provenance Engine: Trace Before Trust.png</x:v>
      </x:c>
      <x:c r="D35" s="143" t="str">
        <x:v>image-text-extraction</x:v>
      </x:c>
      <x:c r="E35" s="143" t="str">
        <x:v>12-file pilot from a 200-file visual census; more files remain</x:v>
      </x:c>
      <x:c r="F35" s="143" t="n">
        <x:v>1</x:v>
      </x:c>
      <x:c r="G35" s="143" t="str">
        <x:v>evidence-returned</x:v>
      </x:c>
      <x:c r="H35" s="143" t="str">
        <x:v>libfile_1aa530610ebc819194a7c63bf2ac9cc9</x:v>
      </x:c>
      <x:c r="I35" s="143" t="str">
        <x:v>Plate labels and epistemic categories detected; OCR punctuation is noisy.</x:v>
      </x:c>
    </x:row>
    <x:row r="36" ht="42" customHeight="1">
      <x:c r="A36" s="143" t="str">
        <x:v>A003-RUN-2026-08-09-01</x:v>
      </x:c>
      <x:c r="B36" s="143" t="str">
        <x:v>GAP-04</x:v>
      </x:c>
      <x:c r="C36" s="143" t="str">
        <x:v>Cat wall forensic composite.png</x:v>
      </x:c>
      <x:c r="D36" s="143" t="str">
        <x:v>image-text-extraction</x:v>
      </x:c>
      <x:c r="E36" s="143" t="str">
        <x:v>12-file pilot from a 200-file visual census; more files remain</x:v>
      </x:c>
      <x:c r="F36" s="143" t="n">
        <x:v>1</x:v>
      </x:c>
      <x:c r="G36" s="143" t="str">
        <x:v>evidence-returned</x:v>
      </x:c>
      <x:c r="H36" s="143" t="str">
        <x:v>libfile_e89a34cfbf9c8191b2f73e59ebddd80c</x:v>
      </x:c>
      <x:c r="I36" s="143" t="str">
        <x:v>In-world artifact label detected; verify pixels before exact quotation.</x:v>
      </x:c>
    </x:row>
    <x:row r="37" ht="42" customHeight="1">
      <x:c r="A37" s="143" t="str">
        <x:v>A003-RUN-2026-08-09-01</x:v>
      </x:c>
      <x:c r="B37" s="143" t="str">
        <x:v>GAP-04</x:v>
      </x:c>
      <x:c r="C37" s="143" t="str">
        <x:v>Prison Age: The fandom split.png</x:v>
      </x:c>
      <x:c r="D37" s="143" t="str">
        <x:v>image-text-extraction</x:v>
      </x:c>
      <x:c r="E37" s="143" t="str">
        <x:v>12-file pilot from a 200-file visual census; more files remain</x:v>
      </x:c>
      <x:c r="F37" s="143" t="n">
        <x:v>1</x:v>
      </x:c>
      <x:c r="G37" s="143" t="str">
        <x:v>evidence-returned</x:v>
      </x:c>
      <x:c r="H37" s="143" t="str">
        <x:v>libfile_fe21af9e408481919516266ff6b72a2a</x:v>
      </x:c>
      <x:c r="I37" s="143" t="str">
        <x:v>Mostly diagram labels and timestamps; no exact line proposed.</x:v>
      </x:c>
    </x:row>
    <x:row r="38" ht="42" customHeight="1">
      <x:c r="A38" s="143" t="str">
        <x:v>A003-RUN-2026-08-09-01</x:v>
      </x:c>
      <x:c r="B38" s="143" t="str">
        <x:v>GAP-04</x:v>
      </x:c>
      <x:c r="C38" s="143" t="str">
        <x:v>The load-bearing gap.png</x:v>
      </x:c>
      <x:c r="D38" s="143" t="str">
        <x:v>image-text-extraction</x:v>
      </x:c>
      <x:c r="E38" s="143" t="str">
        <x:v>12-file pilot from a 200-file visual census; more files remain</x:v>
      </x:c>
      <x:c r="F38" s="143" t="n">
        <x:v>0</x:v>
      </x:c>
      <x:c r="G38" s="143" t="str">
        <x:v>auditable-zero-result</x:v>
      </x:c>
      <x:c r="H38" s="143" t="str">
        <x:v>libfile_a5832028fc4c8191934c272d56c6f549</x:v>
      </x:c>
      <x:c r="I38" s="143" t="str">
        <x:v>No readable text returned.</x:v>
      </x:c>
    </x:row>
    <x:row r="39" ht="42" customHeight="1">
      <x:c r="A39" s="143" t="str">
        <x:v>A003-RUN-2026-08-09-01</x:v>
      </x:c>
      <x:c r="B39" s="143" t="str">
        <x:v>GAP-04</x:v>
      </x:c>
      <x:c r="C39" s="143" t="str">
        <x:v>Memory in the fold.png</x:v>
      </x:c>
      <x:c r="D39" s="143" t="str">
        <x:v>image-text-extraction</x:v>
      </x:c>
      <x:c r="E39" s="143" t="str">
        <x:v>12-file pilot from a 200-file visual census; more files remain</x:v>
      </x:c>
      <x:c r="F39" s="143" t="n">
        <x:v>0</x:v>
      </x:c>
      <x:c r="G39" s="143" t="str">
        <x:v>auditable-zero-result</x:v>
      </x:c>
      <x:c r="H39" s="143" t="str">
        <x:v>libfile_8065463484448191a5c15d9625df7766</x:v>
      </x:c>
      <x:c r="I39" s="143" t="str">
        <x:v>No readable text returned.</x:v>
      </x:c>
    </x:row>
    <x:row r="40" ht="42" customHeight="1">
      <x:c r="A40" s="143" t="str">
        <x:v>A003-RUN-2026-08-09-01</x:v>
      </x:c>
      <x:c r="B40" s="143" t="str">
        <x:v>GAP-04</x:v>
      </x:c>
      <x:c r="C40" s="143" t="str">
        <x:v>The Floor Becomes a Map.png</x:v>
      </x:c>
      <x:c r="D40" s="143" t="str">
        <x:v>image-text-extraction</x:v>
      </x:c>
      <x:c r="E40" s="143" t="str">
        <x:v>12-file pilot from a 200-file visual census; more files remain</x:v>
      </x:c>
      <x:c r="F40" s="143" t="n">
        <x:v>0</x:v>
      </x:c>
      <x:c r="G40" s="143" t="str">
        <x:v>auditable-zero-result</x:v>
      </x:c>
      <x:c r="H40" s="143" t="str">
        <x:v>libfile_9ade098bce808191a8bb2abc55f32315</x:v>
      </x:c>
      <x:c r="I40" s="143" t="str">
        <x:v>No readable text returned.</x:v>
      </x:c>
    </x:row>
    <x:row r="41" ht="42" customHeight="1">
      <x:c r="A41" s="143" t="str">
        <x:v>A003-RUN-2026-08-09-01</x:v>
      </x:c>
      <x:c r="B41" s="143" t="str">
        <x:v>GAP-04</x:v>
      </x:c>
      <x:c r="C41" s="143" t="str">
        <x:v>Two Traces, One Fixed Point.png</x:v>
      </x:c>
      <x:c r="D41" s="143" t="str">
        <x:v>image-text-extraction</x:v>
      </x:c>
      <x:c r="E41" s="143" t="str">
        <x:v>12-file pilot from a 200-file visual census; more files remain</x:v>
      </x:c>
      <x:c r="F41" s="143" t="n">
        <x:v>0</x:v>
      </x:c>
      <x:c r="G41" s="143" t="str">
        <x:v>auditable-zero-result</x:v>
      </x:c>
      <x:c r="H41" s="143" t="str">
        <x:v>libfile_0b0fa56609788191bef8ac4504f5c691</x:v>
      </x:c>
      <x:c r="I41" s="143" t="str">
        <x:v>No readable text returned.</x:v>
      </x:c>
    </x:row>
    <x:row r="42" ht="42" customHeight="1">
      <x:c r="A42" s="143" t="str">
        <x:v>A003-RUN-2026-08-09-01</x:v>
      </x:c>
      <x:c r="B42" s="143" t="str">
        <x:v>GAP-04</x:v>
      </x:c>
      <x:c r="C42" s="143" t="str">
        <x:v>The chair that wasn’t there.png</x:v>
      </x:c>
      <x:c r="D42" s="143" t="str">
        <x:v>image-text-extraction</x:v>
      </x:c>
      <x:c r="E42" s="143" t="str">
        <x:v>12-file pilot from a 200-file visual census; more files remain</x:v>
      </x:c>
      <x:c r="F42" s="143" t="n">
        <x:v>1</x:v>
      </x:c>
      <x:c r="G42" s="143" t="str">
        <x:v>evidence-returned</x:v>
      </x:c>
      <x:c r="H42" s="143" t="str">
        <x:v>libfile_8fa5e6a9467081919e42e71a189e40d6</x:v>
      </x:c>
      <x:c r="I42" s="143" t="str">
        <x:v>Diagram title and location labels detected; no exact line proposed.</x:v>
      </x:c>
    </x:row>
    <x:row r="43" ht="42" customHeight="1">
      <x:c r="A43" s="143" t="str">
        <x:v>A003-RUN-2026-08-09-01</x:v>
      </x:c>
      <x:c r="B43" s="143" t="str">
        <x:v>GAP-04</x:v>
      </x:c>
      <x:c r="C43" s="143" t="str">
        <x:v>The Atlas of Return and Becoming.png</x:v>
      </x:c>
      <x:c r="D43" s="143" t="str">
        <x:v>image-text-extraction</x:v>
      </x:c>
      <x:c r="E43" s="143" t="str">
        <x:v>12-file pilot from a 200-file visual census; more files remain</x:v>
      </x:c>
      <x:c r="F43" s="143" t="n">
        <x:v>1</x:v>
      </x:c>
      <x:c r="G43" s="143" t="str">
        <x:v>evidence-returned</x:v>
      </x:c>
      <x:c r="H43" s="143" t="str">
        <x:v>libfile_ae423884d22881918b3582fb60d4779f</x:v>
      </x:c>
      <x:c r="I43" s="143" t="str">
        <x:v>Module labels detected; OCR too noisy for exact quotation.</x:v>
      </x:c>
    </x:row>
    <x:row r="44" ht="42" customHeight="1">
      <x:c r="A44" s="143" t="str">
        <x:v>A003-RUN-2026-08-09-01</x:v>
      </x:c>
      <x:c r="B44" s="143" t="str">
        <x:v>GAP-04</x:v>
      </x:c>
      <x:c r="C44" s="143" t="str">
        <x:v>Eight Plates: A Mnemonic Journey.png</x:v>
      </x:c>
      <x:c r="D44" s="143" t="str">
        <x:v>image-text-extraction</x:v>
      </x:c>
      <x:c r="E44" s="143" t="str">
        <x:v>12-file pilot from a 200-file visual census; more files remain</x:v>
      </x:c>
      <x:c r="F44" s="143" t="n">
        <x:v>3</x:v>
      </x:c>
      <x:c r="G44" s="143" t="str">
        <x:v>evidence-returned</x:v>
      </x:c>
      <x:c r="H44" s="143" t="str">
        <x:v>libfile_abe0f8058bec8191b6bd223407f52ad8</x:v>
      </x:c>
      <x:c r="I44" s="143" t="str">
        <x:v>Several short plate lines are legible; verify pixels and source prompt before attribution.</x:v>
      </x:c>
    </x:row>
    <x:row r="45" ht="42" customHeight="1">
      <x:c r="A45" s="143" t="str">
        <x:v>A003-RUN-2026-08-09-01</x:v>
      </x:c>
      <x:c r="B45" s="143" t="str">
        <x:v>GAP-04</x:v>
      </x:c>
      <x:c r="C45" s="143" t="str">
        <x:v>image-gen-1(20).png</x:v>
      </x:c>
      <x:c r="D45" s="143" t="str">
        <x:v>image-text-extraction</x:v>
      </x:c>
      <x:c r="E45" s="143" t="str">
        <x:v>12-file pilot from a 200-file visual census; more files remain</x:v>
      </x:c>
      <x:c r="F45" s="143" t="n">
        <x:v>0</x:v>
      </x:c>
      <x:c r="G45" s="143" t="str">
        <x:v>auditable-zero-result</x:v>
      </x:c>
      <x:c r="H45" s="143" t="str">
        <x:v>libfile_cfa29e4747808191a6344a363a7531a4</x:v>
      </x:c>
      <x:c r="I45" s="143" t="str">
        <x:v>No readable text returned.</x:v>
      </x:c>
    </x:row>
    <x:row r="46" ht="42" customHeight="1">
      <x:c r="A46" s="144" t="str">
        <x:v>A003-RUN-2026-08-09-01</x:v>
      </x:c>
      <x:c r="B46" s="144" t="str">
        <x:v>GAP-04</x:v>
      </x:c>
      <x:c r="C46" s="144" t="str">
        <x:v>Systematic design of labyrinthine thought.png</x:v>
      </x:c>
      <x:c r="D46" s="144" t="str">
        <x:v>image-text-extraction</x:v>
      </x:c>
      <x:c r="E46" s="144" t="str">
        <x:v>12-file pilot from a 200-file visual census; more files remain</x:v>
      </x:c>
      <x:c r="F46" s="144" t="n">
        <x:v>1</x:v>
      </x:c>
      <x:c r="G46" s="144" t="str">
        <x:v>evidence-returned</x:v>
      </x:c>
      <x:c r="H46" s="144" t="str">
        <x:v>libfile_b9ce1d2c874481919b4bdb5dffe0f719</x:v>
      </x:c>
      <x:c r="I46" s="144" t="str">
        <x:v>Mixed plate text detected; only a clearly segmented, non-sensitive line is proposed.</x:v>
      </x:c>
    </x:row>
  </x:sheetData>
  <x:mergeCells>
    <x:mergeCell ref="A1:I1"/>
    <x:mergeCell ref="A2:I2"/>
  </x:mergeCells>
  <x:conditionalFormatting sqref="G5:G46">
    <x:cfRule type="containsText" dxfId="8" priority="1" operator="containsText" text="auditable-zero-result"/>
    <x:cfRule type="containsText" dxfId="9" priority="2" operator="containsText" text="evidence-return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34" hidden="0" customWidth="1"/>
    <x:col min="5" max="5" width="44" hidden="0" customWidth="1"/>
    <x:col min="6" max="6" width="22" hidden="0" customWidth="1"/>
    <x:col min="7" max="7" width="13" hidden="0" customWidth="1"/>
    <x:col min="8" max="8" width="24" hidden="0" customWidth="1"/>
    <x:col min="9" max="9" width="16" hidden="0" customWidth="1"/>
    <x:col min="10" max="10" width="24" hidden="0" customWidth="1"/>
    <x:col min="11" max="11" width="14" hidden="0" customWidth="1"/>
    <x:col min="12" max="12" width="58" hidden="0" customWidth="1"/>
  </x:cols>
  <x:sheetData>
    <x:row r="1" ht="28" customHeight="1">
      <x:c r="A1" s="124" t="str">
        <x:v>A003 · CANDIDATE RETURNS</x:v>
      </x:c>
      <x:c r="B1" s="124" t="str">
        <x:v>A003 · CANDIDATE RETURNS</x:v>
      </x:c>
      <x:c r="C1" s="124" t="str">
        <x:v>A003 · CANDIDATE RETURNS</x:v>
      </x:c>
      <x:c r="D1" s="124" t="str">
        <x:v>A003 · CANDIDATE RETURNS</x:v>
      </x:c>
      <x:c r="E1" s="124" t="str">
        <x:v>A003 · CANDIDATE RETURNS</x:v>
      </x:c>
      <x:c r="F1" s="124" t="str">
        <x:v>A003 · CANDIDATE RETURNS</x:v>
      </x:c>
      <x:c r="G1" s="124" t="str">
        <x:v>A003 · CANDIDATE RETURNS</x:v>
      </x:c>
      <x:c r="H1" s="124" t="str">
        <x:v>A003 · CANDIDATE RETURNS</x:v>
      </x:c>
      <x:c r="I1" s="124" t="str">
        <x:v>A003 · CANDIDATE RETURNS</x:v>
      </x:c>
      <x:c r="J1" s="124" t="str">
        <x:v>A003 · CANDIDATE RETURNS</x:v>
      </x:c>
      <x:c r="K1" s="124" t="str">
        <x:v>A003 · CANDIDATE RETURNS</x:v>
      </x:c>
      <x:c r="L1" s="124" t="str">
        <x:v>A003 · CANDIDATE RETURNS</x:v>
      </x:c>
    </x:row>
    <x:row r="2" ht="22" customHeight="1">
      <x:c r="A2" s="127" t="str">
        <x:v>23 unverified returns · not in normalized bank · zero automatic promotion</x:v>
      </x:c>
      <x:c r="B2" s="127" t="str">
        <x:v>23 unverified returns · not in normalized bank · zero automatic promotion</x:v>
      </x:c>
      <x:c r="C2" s="127" t="str">
        <x:v>23 unverified returns · not in normalized bank · zero automatic promotion</x:v>
      </x:c>
      <x:c r="D2" s="127" t="str">
        <x:v>23 unverified returns · not in normalized bank · zero automatic promotion</x:v>
      </x:c>
      <x:c r="E2" s="127" t="str">
        <x:v>23 unverified returns · not in normalized bank · zero automatic promotion</x:v>
      </x:c>
      <x:c r="F2" s="127" t="str">
        <x:v>23 unverified returns · not in normalized bank · zero automatic promotion</x:v>
      </x:c>
      <x:c r="G2" s="127" t="str">
        <x:v>23 unverified returns · not in normalized bank · zero automatic promotion</x:v>
      </x:c>
      <x:c r="H2" s="127" t="str">
        <x:v>23 unverified returns · not in normalized bank · zero automatic promotion</x:v>
      </x:c>
      <x:c r="I2" s="127" t="str">
        <x:v>23 unverified returns · not in normalized bank · zero automatic promotion</x:v>
      </x:c>
      <x:c r="J2" s="127" t="str">
        <x:v>23 unverified returns · not in normalized bank · zero automatic promotion</x:v>
      </x:c>
      <x:c r="K2" s="127" t="str">
        <x:v>23 unverified returns · not in normalized bank · zero automatic promotion</x:v>
      </x:c>
      <x:c r="L2" s="127" t="str">
        <x:v>23 unverified returns · not in normalized bank · zero automatic promotion</x:v>
      </x:c>
    </x:row>
    <x:row r="4" ht="24" customHeight="1">
      <x:c r="A4" s="164" t="str">
        <x:v>Candidate ID</x:v>
      </x:c>
      <x:c r="B4" s="165" t="str">
        <x:v>Exact Text</x:v>
      </x:c>
      <x:c r="C4" s="165" t="str">
        <x:v>Source Type</x:v>
      </x:c>
      <x:c r="D4" s="165" t="str">
        <x:v>Source Name</x:v>
      </x:c>
      <x:c r="E4" s="165" t="str">
        <x:v>Source Ref</x:v>
      </x:c>
      <x:c r="F4" s="165" t="str">
        <x:v>Date</x:v>
      </x:c>
      <x:c r="G4" s="165" t="str">
        <x:v>Role</x:v>
      </x:c>
      <x:c r="H4" s="165" t="str">
        <x:v>Extraction</x:v>
      </x:c>
      <x:c r="I4" s="165" t="str">
        <x:v>OCR Confidence</x:v>
      </x:c>
      <x:c r="J4" s="165" t="str">
        <x:v>Ledger Relation</x:v>
      </x:c>
      <x:c r="K4" s="165" t="str">
        <x:v>State</x:v>
      </x:c>
      <x:c r="L4" s="166" t="str">
        <x:v>Required Next Test</x:v>
      </x:c>
    </x:row>
    <x:row r="5" ht="46" customHeight="1">
      <x:c r="A5" s="142" t="str">
        <x:v>CAND-001</x:v>
      </x:c>
      <x:c r="B5" s="142" t="str">
        <x:v>Name the voices.</x:v>
      </x:c>
      <x:c r="C5" s="142" t="str">
        <x:v>conversation-export</x:v>
      </x:c>
      <x:c r="D5" s="142" t="str">
        <x:v>conversations-001.json / Response Consolidation Strategy</x:v>
      </x:c>
      <x:c r="E5" s="142" t="str">
        <x:v>677192e6-5a70-8006-a15b-85c6786d8712:c0381e31-9330-41a8-863f-1a012a483ab1</x:v>
      </x:c>
      <x:c r="F5" s="178" t="n">
        <x:v>46091.68753898148</x:v>
      </x:c>
      <x:c r="G5" s="142" t="str">
        <x:v>assistant</x:v>
      </x:c>
      <x:c r="H5" s="142" t="str">
        <x:v>exact-line-from-ranked-source</x:v>
      </x:c>
      <x:c r="I5" s="142" t="str">
        <x:v>n/a</x:v>
      </x:c>
      <x:c r="J5" s="142" t="str">
        <x:v>not-in-normalized-bank</x:v>
      </x:c>
      <x:c r="K5" s="142" t="str">
        <x:v>triaged</x:v>
      </x:c>
      <x:c r="L5" s="142" t="str">
        <x:v>Open source; verify exact wording, authorship, date and family; never auto-promote.</x:v>
      </x:c>
    </x:row>
    <x:row r="6" ht="46" customHeight="1">
      <x:c r="A6" s="143" t="str">
        <x:v>CAND-002</x:v>
      </x:c>
      <x:c r="B6" s="143" t="str">
        <x:v>Trace before trust.</x:v>
      </x:c>
      <x:c r="C6" s="143" t="str">
        <x:v>visual-ocr</x:v>
      </x:c>
      <x:c r="D6" s="143" t="str">
        <x:v>Provenance Engine: Trace Before Trust.png</x:v>
      </x:c>
      <x:c r="E6" s="143" t="str">
        <x:v>libfile_1aa530610ebc819194a7c63bf2ac9cc9</x:v>
      </x:c>
      <x:c r="F6" s="179"/>
      <x:c r="G6" s="143" t="str">
        <x:v>unresolved</x:v>
      </x:c>
      <x:c r="H6" s="143" t="str">
        <x:v>image-text-pilot</x:v>
      </x:c>
      <x:c r="I6" s="143" t="str">
        <x:v>medium</x:v>
      </x:c>
      <x:c r="J6" s="143" t="str">
        <x:v>not-in-normalized-bank</x:v>
      </x:c>
      <x:c r="K6" s="143" t="str">
        <x:v>triaged</x:v>
      </x:c>
      <x:c r="L6" s="143" t="str">
        <x:v>Open source; verify exact wording, authorship, date and family; never auto-promote.</x:v>
      </x:c>
    </x:row>
    <x:row r="7" ht="46" customHeight="1">
      <x:c r="A7" s="143" t="str">
        <x:v>CAND-003</x:v>
      </x:c>
      <x:c r="B7" s="143" t="str">
        <x:v>Let them speak distinctly.</x:v>
      </x:c>
      <x:c r="C7" s="143" t="str">
        <x:v>conversation-export</x:v>
      </x:c>
      <x:c r="D7" s="143" t="str">
        <x:v>conversations-001.json / Response Consolidation Strategy</x:v>
      </x:c>
      <x:c r="E7" s="143" t="str">
        <x:v>677192e6-5a70-8006-a15b-85c6786d8712:c0381e31-9330-41a8-863f-1a012a483ab1</x:v>
      </x:c>
      <x:c r="F7" s="179" t="n">
        <x:v>46091.68753898148</x:v>
      </x:c>
      <x:c r="G7" s="143" t="str">
        <x:v>assistant</x:v>
      </x:c>
      <x:c r="H7" s="143" t="str">
        <x:v>exact-line-from-ranked-source</x:v>
      </x:c>
      <x:c r="I7" s="143" t="str">
        <x:v>n/a</x:v>
      </x:c>
      <x:c r="J7" s="143" t="str">
        <x:v>not-in-normalized-bank</x:v>
      </x:c>
      <x:c r="K7" s="143" t="str">
        <x:v>triaged</x:v>
      </x:c>
      <x:c r="L7" s="143" t="str">
        <x:v>Open source; verify exact wording, authorship, date and family; never auto-promote.</x:v>
      </x:c>
    </x:row>
    <x:row r="8" ht="46" customHeight="1">
      <x:c r="A8" s="143" t="str">
        <x:v>CAND-004</x:v>
      </x:c>
      <x:c r="B8" s="143" t="str">
        <x:v>Separate canon from improvisation.</x:v>
      </x:c>
      <x:c r="C8" s="143" t="str">
        <x:v>conversation-export</x:v>
      </x:c>
      <x:c r="D8" s="143" t="str">
        <x:v>conversations-001.json / Response Consolidation Strategy</x:v>
      </x:c>
      <x:c r="E8" s="143" t="str">
        <x:v>677192e6-5a70-8006-a15b-85c6786d8712:c0381e31-9330-41a8-863f-1a012a483ab1</x:v>
      </x:c>
      <x:c r="F8" s="179" t="n">
        <x:v>46091.68753898148</x:v>
      </x:c>
      <x:c r="G8" s="143" t="str">
        <x:v>assistant</x:v>
      </x:c>
      <x:c r="H8" s="143" t="str">
        <x:v>exact-line-from-ranked-source</x:v>
      </x:c>
      <x:c r="I8" s="143" t="str">
        <x:v>n/a</x:v>
      </x:c>
      <x:c r="J8" s="143" t="str">
        <x:v>not-in-normalized-bank</x:v>
      </x:c>
      <x:c r="K8" s="143" t="str">
        <x:v>triaged</x:v>
      </x:c>
      <x:c r="L8" s="143" t="str">
        <x:v>Open source; verify exact wording, authorship, date and family; never auto-promote.</x:v>
      </x:c>
    </x:row>
    <x:row r="9" ht="46" customHeight="1">
      <x:c r="A9" s="143" t="str">
        <x:v>CAND-005</x:v>
      </x:c>
      <x:c r="B9" s="143" t="str">
        <x:v>Many voices. One shape.</x:v>
      </x:c>
      <x:c r="C9" s="143" t="str">
        <x:v>visual-ocr</x:v>
      </x:c>
      <x:c r="D9" s="143" t="str">
        <x:v>Eight Plates: A Mnemonic Journey.png</x:v>
      </x:c>
      <x:c r="E9" s="143" t="str">
        <x:v>libfile_abe0f8058bec8191b6bd223407f52ad8</x:v>
      </x:c>
      <x:c r="F9" s="179"/>
      <x:c r="G9" s="143" t="str">
        <x:v>unresolved</x:v>
      </x:c>
      <x:c r="H9" s="143" t="str">
        <x:v>image-text-pilot</x:v>
      </x:c>
      <x:c r="I9" s="143" t="str">
        <x:v>medium</x:v>
      </x:c>
      <x:c r="J9" s="143" t="str">
        <x:v>not-in-normalized-bank</x:v>
      </x:c>
      <x:c r="K9" s="143" t="str">
        <x:v>triaged</x:v>
      </x:c>
      <x:c r="L9" s="143" t="str">
        <x:v>Open source; verify exact wording, authorship, date and family; never auto-promote.</x:v>
      </x:c>
    </x:row>
    <x:row r="10" ht="46" customHeight="1">
      <x:c r="A10" s="143" t="str">
        <x:v>CAND-006</x:v>
      </x:c>
      <x:c r="B10" s="143" t="str">
        <x:v>Preserve wit while carrying feeling.</x:v>
      </x:c>
      <x:c r="C10" s="143" t="str">
        <x:v>conversation-export</x:v>
      </x:c>
      <x:c r="D10" s="143" t="str">
        <x:v>conversations-001.json / Response Consolidation Strategy</x:v>
      </x:c>
      <x:c r="E10" s="143" t="str">
        <x:v>677192e6-5a70-8006-a15b-85c6786d8712:c0381e31-9330-41a8-863f-1a012a483ab1</x:v>
      </x:c>
      <x:c r="F10" s="179" t="n">
        <x:v>46091.68753898148</x:v>
      </x:c>
      <x:c r="G10" s="143" t="str">
        <x:v>assistant</x:v>
      </x:c>
      <x:c r="H10" s="143" t="str">
        <x:v>exact-line-from-ranked-source</x:v>
      </x:c>
      <x:c r="I10" s="143" t="str">
        <x:v>n/a</x:v>
      </x:c>
      <x:c r="J10" s="143" t="str">
        <x:v>not-in-normalized-bank</x:v>
      </x:c>
      <x:c r="K10" s="143" t="str">
        <x:v>triaged</x:v>
      </x:c>
      <x:c r="L10" s="143" t="str">
        <x:v>Open source; verify exact wording, authorship, date and family; never auto-promote.</x:v>
      </x:c>
    </x:row>
    <x:row r="11" ht="46" customHeight="1">
      <x:c r="A11" s="143" t="str">
        <x:v>CAND-007</x:v>
      </x:c>
      <x:c r="B11" s="143" t="str">
        <x:v>What enters. What remains. Provenance.</x:v>
      </x:c>
      <x:c r="C11" s="143" t="str">
        <x:v>visual-ocr</x:v>
      </x:c>
      <x:c r="D11" s="143" t="str">
        <x:v>Eight Plates: A Mnemonic Journey.png</x:v>
      </x:c>
      <x:c r="E11" s="143" t="str">
        <x:v>libfile_abe0f8058bec8191b6bd223407f52ad8</x:v>
      </x:c>
      <x:c r="F11" s="179"/>
      <x:c r="G11" s="143" t="str">
        <x:v>unresolved</x:v>
      </x:c>
      <x:c r="H11" s="143" t="str">
        <x:v>image-text-pilot</x:v>
      </x:c>
      <x:c r="I11" s="143" t="str">
        <x:v>medium</x:v>
      </x:c>
      <x:c r="J11" s="143" t="str">
        <x:v>not-in-normalized-bank</x:v>
      </x:c>
      <x:c r="K11" s="143" t="str">
        <x:v>triaged</x:v>
      </x:c>
      <x:c r="L11" s="143" t="str">
        <x:v>Open source; verify exact wording, authorship, date and family; never auto-promote.</x:v>
      </x:c>
    </x:row>
    <x:row r="12" ht="46" customHeight="1">
      <x:c r="A12" s="143" t="str">
        <x:v>CAND-008</x:v>
      </x:c>
      <x:c r="B12" s="143" t="str">
        <x:v>Stage tension rather than flatten it.</x:v>
      </x:c>
      <x:c r="C12" s="143" t="str">
        <x:v>conversation-export</x:v>
      </x:c>
      <x:c r="D12" s="143" t="str">
        <x:v>conversations-001.json / Response Consolidation Strategy</x:v>
      </x:c>
      <x:c r="E12" s="143" t="str">
        <x:v>677192e6-5a70-8006-a15b-85c6786d8712:c0381e31-9330-41a8-863f-1a012a483ab1</x:v>
      </x:c>
      <x:c r="F12" s="179" t="n">
        <x:v>46091.68753898148</x:v>
      </x:c>
      <x:c r="G12" s="143" t="str">
        <x:v>assistant</x:v>
      </x:c>
      <x:c r="H12" s="143" t="str">
        <x:v>exact-line-from-ranked-source</x:v>
      </x:c>
      <x:c r="I12" s="143" t="str">
        <x:v>n/a</x:v>
      </x:c>
      <x:c r="J12" s="143" t="str">
        <x:v>not-in-normalized-bank</x:v>
      </x:c>
      <x:c r="K12" s="143" t="str">
        <x:v>triaged</x:v>
      </x:c>
      <x:c r="L12" s="143" t="str">
        <x:v>Open source; verify exact wording, authorship, date and family; never auto-promote.</x:v>
      </x:c>
    </x:row>
    <x:row r="13" ht="46" customHeight="1">
      <x:c r="A13" s="143" t="str">
        <x:v>CAND-009</x:v>
      </x:c>
      <x:c r="B13" s="143" t="str">
        <x:v>Mark absence honestly instead of inventing.</x:v>
      </x:c>
      <x:c r="C13" s="143" t="str">
        <x:v>conversation-export</x:v>
      </x:c>
      <x:c r="D13" s="143" t="str">
        <x:v>conversations-001.json / Response Consolidation Strategy</x:v>
      </x:c>
      <x:c r="E13" s="143" t="str">
        <x:v>677192e6-5a70-8006-a15b-85c6786d8712:c0381e31-9330-41a8-863f-1a012a483ab1</x:v>
      </x:c>
      <x:c r="F13" s="179" t="n">
        <x:v>46091.68753898148</x:v>
      </x:c>
      <x:c r="G13" s="143" t="str">
        <x:v>assistant</x:v>
      </x:c>
      <x:c r="H13" s="143" t="str">
        <x:v>exact-line-from-ranked-source</x:v>
      </x:c>
      <x:c r="I13" s="143" t="str">
        <x:v>n/a</x:v>
      </x:c>
      <x:c r="J13" s="143" t="str">
        <x:v>not-in-normalized-bank</x:v>
      </x:c>
      <x:c r="K13" s="143" t="str">
        <x:v>triaged</x:v>
      </x:c>
      <x:c r="L13" s="143" t="str">
        <x:v>Open source; verify exact wording, authorship, date and family; never auto-promote.</x:v>
      </x:c>
    </x:row>
    <x:row r="14" ht="46" customHeight="1">
      <x:c r="A14" s="143" t="str">
        <x:v>CAND-010</x:v>
      </x:c>
      <x:c r="B14" s="143" t="str">
        <x:v>What exact object are we building?</x:v>
      </x:c>
      <x:c r="C14" s="143" t="str">
        <x:v>conversation-export</x:v>
      </x:c>
      <x:c r="D14" s="143" t="str">
        <x:v>conversations-001.json / Response Consolidation Strategy</x:v>
      </x:c>
      <x:c r="E14" s="143" t="str">
        <x:v>677192e6-5a70-8006-a15b-85c6786d8712:c0381e31-9330-41a8-863f-1a012a483ab1</x:v>
      </x:c>
      <x:c r="F14" s="179" t="n">
        <x:v>46091.68753898148</x:v>
      </x:c>
      <x:c r="G14" s="143" t="str">
        <x:v>assistant</x:v>
      </x:c>
      <x:c r="H14" s="143" t="str">
        <x:v>exact-line-from-ranked-source</x:v>
      </x:c>
      <x:c r="I14" s="143" t="str">
        <x:v>n/a</x:v>
      </x:c>
      <x:c r="J14" s="143" t="str">
        <x:v>not-in-normalized-bank</x:v>
      </x:c>
      <x:c r="K14" s="143" t="str">
        <x:v>triaged</x:v>
      </x:c>
      <x:c r="L14" s="143" t="str">
        <x:v>Open source; verify exact wording, authorship, date and family; never auto-promote.</x:v>
      </x:c>
    </x:row>
    <x:row r="15" ht="46" customHeight="1">
      <x:c r="A15" s="143" t="str">
        <x:v>CAND-011</x:v>
      </x:c>
      <x:c r="B15" s="143" t="str">
        <x:v>Only include things actually present in this thread.</x:v>
      </x:c>
      <x:c r="C15" s="143" t="str">
        <x:v>conversation-export</x:v>
      </x:c>
      <x:c r="D15" s="143" t="str">
        <x:v>conversations-001.json / Response Consolidation Strategy</x:v>
      </x:c>
      <x:c r="E15" s="143" t="str">
        <x:v>677192e6-5a70-8006-a15b-85c6786d8712:c0381e31-9330-41a8-863f-1a012a483ab1</x:v>
      </x:c>
      <x:c r="F15" s="179" t="n">
        <x:v>46091.68753898148</x:v>
      </x:c>
      <x:c r="G15" s="143" t="str">
        <x:v>assistant</x:v>
      </x:c>
      <x:c r="H15" s="143" t="str">
        <x:v>exact-line-from-ranked-source</x:v>
      </x:c>
      <x:c r="I15" s="143" t="str">
        <x:v>n/a</x:v>
      </x:c>
      <x:c r="J15" s="143" t="str">
        <x:v>not-in-normalized-bank</x:v>
      </x:c>
      <x:c r="K15" s="143" t="str">
        <x:v>triaged</x:v>
      </x:c>
      <x:c r="L15" s="143" t="str">
        <x:v>Open source; verify exact wording, authorship, date and family; never auto-promote.</x:v>
      </x:c>
    </x:row>
    <x:row r="16" ht="46" customHeight="1">
      <x:c r="A16" s="143" t="str">
        <x:v>CAND-012</x:v>
      </x:c>
      <x:c r="B16" s="143" t="str">
        <x:v>A message is a route you can walk.</x:v>
      </x:c>
      <x:c r="C16" s="143" t="str">
        <x:v>visual-ocr</x:v>
      </x:c>
      <x:c r="D16" s="143" t="str">
        <x:v>Eight Plates: A Mnemonic Journey.png</x:v>
      </x:c>
      <x:c r="E16" s="143" t="str">
        <x:v>libfile_abe0f8058bec8191b6bd223407f52ad8</x:v>
      </x:c>
      <x:c r="F16" s="179"/>
      <x:c r="G16" s="143" t="str">
        <x:v>unresolved</x:v>
      </x:c>
      <x:c r="H16" s="143" t="str">
        <x:v>image-text-pilot</x:v>
      </x:c>
      <x:c r="I16" s="143" t="str">
        <x:v>medium</x:v>
      </x:c>
      <x:c r="J16" s="143" t="str">
        <x:v>not-in-normalized-bank</x:v>
      </x:c>
      <x:c r="K16" s="143" t="str">
        <x:v>triaged</x:v>
      </x:c>
      <x:c r="L16" s="143" t="str">
        <x:v>Open source; verify exact wording, authorship, date and family; never auto-promote.</x:v>
      </x:c>
    </x:row>
    <x:row r="17" ht="46" customHeight="1">
      <x:c r="A17" s="143" t="str">
        <x:v>CAND-013</x:v>
      </x:c>
      <x:c r="B17" s="143" t="str">
        <x:v>All roads are sentences. All gaps are doors.</x:v>
      </x:c>
      <x:c r="C17" s="143" t="str">
        <x:v>visual-ocr</x:v>
      </x:c>
      <x:c r="D17" s="143" t="str">
        <x:v>Systematic design of labyrinthine thought.png</x:v>
      </x:c>
      <x:c r="E17" s="143" t="str">
        <x:v>libfile_b9ce1d2c874481919b4bdb5dffe0f719</x:v>
      </x:c>
      <x:c r="F17" s="179"/>
      <x:c r="G17" s="143" t="str">
        <x:v>unresolved</x:v>
      </x:c>
      <x:c r="H17" s="143" t="str">
        <x:v>image-text-pilot</x:v>
      </x:c>
      <x:c r="I17" s="143" t="str">
        <x:v>medium</x:v>
      </x:c>
      <x:c r="J17" s="143" t="str">
        <x:v>not-in-normalized-bank</x:v>
      </x:c>
      <x:c r="K17" s="143" t="str">
        <x:v>triaged</x:v>
      </x:c>
      <x:c r="L17" s="143" t="str">
        <x:v>Open source; verify exact wording, authorship, date and family; never auto-promote.</x:v>
      </x:c>
    </x:row>
    <x:row r="18" ht="46" customHeight="1">
      <x:c r="A18" s="143" t="str">
        <x:v>CAND-014</x:v>
      </x:c>
      <x:c r="B18" s="143" t="str">
        <x:v>The cat does not exist in any single source.</x:v>
      </x:c>
      <x:c r="C18" s="143" t="str">
        <x:v>visual-ocr</x:v>
      </x:c>
      <x:c r="D18" s="143" t="str">
        <x:v>Cat wall forensic composite.png</x:v>
      </x:c>
      <x:c r="E18" s="143" t="str">
        <x:v>libfile_e89a34cfbf9c8191b2f73e59ebddd80c</x:v>
      </x:c>
      <x:c r="F18" s="179"/>
      <x:c r="G18" s="143" t="str">
        <x:v>unresolved</x:v>
      </x:c>
      <x:c r="H18" s="143" t="str">
        <x:v>image-text-pilot</x:v>
      </x:c>
      <x:c r="I18" s="143" t="str">
        <x:v>medium</x:v>
      </x:c>
      <x:c r="J18" s="143" t="str">
        <x:v>not-in-normalized-bank</x:v>
      </x:c>
      <x:c r="K18" s="143" t="str">
        <x:v>triaged</x:v>
      </x:c>
      <x:c r="L18" s="143" t="str">
        <x:v>Open source; verify exact wording, authorship, date and family; never auto-promote.</x:v>
      </x:c>
    </x:row>
    <x:row r="19" ht="46" customHeight="1">
      <x:c r="A19" s="143" t="str">
        <x:v>CAND-015</x:v>
      </x:c>
      <x:c r="B19" s="143" t="str">
        <x:v>build specs to preserve consistency</x:v>
      </x:c>
      <x:c r="C19" s="143" t="str">
        <x:v>conversation-export</x:v>
      </x:c>
      <x:c r="D19" s="143" t="str">
        <x:v>conversations-001.json / Response Consolidation Strategy</x:v>
      </x:c>
      <x:c r="E19" s="143" t="str">
        <x:v>677192e6-5a70-8006-a15b-85c6786d8712:c0381e31-9330-41a8-863f-1a012a483ab1</x:v>
      </x:c>
      <x:c r="F19" s="179" t="n">
        <x:v>46091.68753898148</x:v>
      </x:c>
      <x:c r="G19" s="143" t="str">
        <x:v>assistant</x:v>
      </x:c>
      <x:c r="H19" s="143" t="str">
        <x:v>exact-line-from-ranked-source</x:v>
      </x:c>
      <x:c r="I19" s="143" t="str">
        <x:v>n/a</x:v>
      </x:c>
      <x:c r="J19" s="143" t="str">
        <x:v>not-in-normalized-bank</x:v>
      </x:c>
      <x:c r="K19" s="143" t="str">
        <x:v>triaged</x:v>
      </x:c>
      <x:c r="L19" s="143" t="str">
        <x:v>Open source; verify exact wording, authorship, date and family; never auto-promote.</x:v>
      </x:c>
    </x:row>
    <x:row r="20" ht="46" customHeight="1">
      <x:c r="A20" s="143" t="str">
        <x:v>CAND-016</x:v>
      </x:c>
      <x:c r="B20" s="143" t="str">
        <x:v>Bureau of Simulacra is present here as a developed side-branch.</x:v>
      </x:c>
      <x:c r="C20" s="143" t="str">
        <x:v>conversation-export</x:v>
      </x:c>
      <x:c r="D20" s="143" t="str">
        <x:v>conversations-001.json / Response Consolidation Strategy</x:v>
      </x:c>
      <x:c r="E20" s="143" t="str">
        <x:v>677192e6-5a70-8006-a15b-85c6786d8712:c0381e31-9330-41a8-863f-1a012a483ab1</x:v>
      </x:c>
      <x:c r="F20" s="179" t="n">
        <x:v>46091.68753898148</x:v>
      </x:c>
      <x:c r="G20" s="143" t="str">
        <x:v>assistant</x:v>
      </x:c>
      <x:c r="H20" s="143" t="str">
        <x:v>exact-line-from-ranked-source</x:v>
      </x:c>
      <x:c r="I20" s="143" t="str">
        <x:v>n/a</x:v>
      </x:c>
      <x:c r="J20" s="143" t="str">
        <x:v>not-in-normalized-bank</x:v>
      </x:c>
      <x:c r="K20" s="143" t="str">
        <x:v>triaged</x:v>
      </x:c>
      <x:c r="L20" s="143" t="str">
        <x:v>Open source; verify exact wording, authorship, date and family; never auto-promote.</x:v>
      </x:c>
    </x:row>
    <x:row r="21" ht="46" customHeight="1">
      <x:c r="A21" s="143" t="str">
        <x:v>CAND-017</x:v>
      </x:c>
      <x:c r="B21" s="143" t="str">
        <x:v>These are the only cleanly present Council scenes in this thread.</x:v>
      </x:c>
      <x:c r="C21" s="143" t="str">
        <x:v>conversation-export</x:v>
      </x:c>
      <x:c r="D21" s="143" t="str">
        <x:v>conversations-001.json / Response Consolidation Strategy</x:v>
      </x:c>
      <x:c r="E21" s="143" t="str">
        <x:v>677192e6-5a70-8006-a15b-85c6786d8712:c0381e31-9330-41a8-863f-1a012a483ab1</x:v>
      </x:c>
      <x:c r="F21" s="179" t="n">
        <x:v>46091.68753898148</x:v>
      </x:c>
      <x:c r="G21" s="143" t="str">
        <x:v>assistant</x:v>
      </x:c>
      <x:c r="H21" s="143" t="str">
        <x:v>exact-line-from-ranked-source</x:v>
      </x:c>
      <x:c r="I21" s="143" t="str">
        <x:v>n/a</x:v>
      </x:c>
      <x:c r="J21" s="143" t="str">
        <x:v>not-in-normalized-bank</x:v>
      </x:c>
      <x:c r="K21" s="143" t="str">
        <x:v>triaged</x:v>
      </x:c>
      <x:c r="L21" s="143" t="str">
        <x:v>Open source; verify exact wording, authorship, date and family; never auto-promote.</x:v>
      </x:c>
    </x:row>
    <x:row r="22" ht="46" customHeight="1">
      <x:c r="A22" s="143" t="str">
        <x:v>CAND-018</x:v>
      </x:c>
      <x:c r="B22" s="143" t="str">
        <x:v>This thread only / all source docs / selected canon only.</x:v>
      </x:c>
      <x:c r="C22" s="143" t="str">
        <x:v>conversation-export</x:v>
      </x:c>
      <x:c r="D22" s="143" t="str">
        <x:v>conversations-001.json / Response Consolidation Strategy</x:v>
      </x:c>
      <x:c r="E22" s="143" t="str">
        <x:v>677192e6-5a70-8006-a15b-85c6786d8712:c0381e31-9330-41a8-863f-1a012a483ab1</x:v>
      </x:c>
      <x:c r="F22" s="179" t="n">
        <x:v>46091.68753898148</x:v>
      </x:c>
      <x:c r="G22" s="143" t="str">
        <x:v>assistant</x:v>
      </x:c>
      <x:c r="H22" s="143" t="str">
        <x:v>exact-line-from-ranked-source</x:v>
      </x:c>
      <x:c r="I22" s="143" t="str">
        <x:v>n/a</x:v>
      </x:c>
      <x:c r="J22" s="143" t="str">
        <x:v>not-in-normalized-bank</x:v>
      </x:c>
      <x:c r="K22" s="143" t="str">
        <x:v>triaged</x:v>
      </x:c>
      <x:c r="L22" s="143" t="str">
        <x:v>Open source; verify exact wording, authorship, date and family; never auto-promote.</x:v>
      </x:c>
    </x:row>
    <x:row r="23" ht="46" customHeight="1">
      <x:c r="A23" s="143" t="str">
        <x:v>CAND-019</x:v>
      </x:c>
      <x:c r="B23" s="143" t="str">
        <x:v>Not in complete canon recovery — because that source is absent here.</x:v>
      </x:c>
      <x:c r="C23" s="143" t="str">
        <x:v>conversation-export</x:v>
      </x:c>
      <x:c r="D23" s="143" t="str">
        <x:v>conversations-001.json / Response Consolidation Strategy</x:v>
      </x:c>
      <x:c r="E23" s="143" t="str">
        <x:v>677192e6-5a70-8006-a15b-85c6786d8712:c0381e31-9330-41a8-863f-1a012a483ab1</x:v>
      </x:c>
      <x:c r="F23" s="179" t="n">
        <x:v>46091.68753898148</x:v>
      </x:c>
      <x:c r="G23" s="143" t="str">
        <x:v>assistant</x:v>
      </x:c>
      <x:c r="H23" s="143" t="str">
        <x:v>exact-line-from-ranked-source</x:v>
      </x:c>
      <x:c r="I23" s="143" t="str">
        <x:v>n/a</x:v>
      </x:c>
      <x:c r="J23" s="143" t="str">
        <x:v>not-in-normalized-bank</x:v>
      </x:c>
      <x:c r="K23" s="143" t="str">
        <x:v>triaged</x:v>
      </x:c>
      <x:c r="L23" s="143" t="str">
        <x:v>Open source; verify exact wording, authorship, date and family; never auto-promote.</x:v>
      </x:c>
    </x:row>
    <x:row r="24" ht="46" customHeight="1">
      <x:c r="A24" s="143" t="str">
        <x:v>CAND-020</x:v>
      </x:c>
      <x:c r="B24" s="143" t="str">
        <x:v>No invention / mark absences / preserve tone / separate canon vs experiments.</x:v>
      </x:c>
      <x:c r="C24" s="143" t="str">
        <x:v>conversation-export</x:v>
      </x:c>
      <x:c r="D24" s="143" t="str">
        <x:v>conversations-001.json / Response Consolidation Strategy</x:v>
      </x:c>
      <x:c r="E24" s="143" t="str">
        <x:v>677192e6-5a70-8006-a15b-85c6786d8712:c0381e31-9330-41a8-863f-1a012a483ab1</x:v>
      </x:c>
      <x:c r="F24" s="179" t="n">
        <x:v>46091.68753898148</x:v>
      </x:c>
      <x:c r="G24" s="143" t="str">
        <x:v>assistant</x:v>
      </x:c>
      <x:c r="H24" s="143" t="str">
        <x:v>exact-line-from-ranked-source</x:v>
      </x:c>
      <x:c r="I24" s="143" t="str">
        <x:v>n/a</x:v>
      </x:c>
      <x:c r="J24" s="143" t="str">
        <x:v>not-in-normalized-bank</x:v>
      </x:c>
      <x:c r="K24" s="143" t="str">
        <x:v>triaged</x:v>
      </x:c>
      <x:c r="L24" s="143" t="str">
        <x:v>Open source; verify exact wording, authorship, date and family; never auto-promote.</x:v>
      </x:c>
    </x:row>
    <x:row r="25" ht="46" customHeight="1">
      <x:c r="A25" s="143" t="str">
        <x:v>CAND-021</x:v>
      </x:c>
      <x:c r="B25" s="143" t="str">
        <x:v>Just the one liner if only i had blank - then do x! Repeat.</x:v>
      </x:c>
      <x:c r="C25" s="143" t="str">
        <x:v>conversation-export</x:v>
      </x:c>
      <x:c r="D25" s="143" t="str">
        <x:v>conversations-001.json / Spy Art and Strategy</x:v>
      </x:c>
      <x:c r="E25" s="143" t="str">
        <x:v>67650a3c-a04c-8006-a0e1-2048a2e49a8f:bbb2186a-7043-46f0-bc01-af9fbc80d32d</x:v>
      </x:c>
      <x:c r="F25" s="179" t="n">
        <x:v>45660.90523163194</x:v>
      </x:c>
      <x:c r="G25" s="143" t="str">
        <x:v>user</x:v>
      </x:c>
      <x:c r="H25" s="143" t="str">
        <x:v>exact-line-from-ranked-source</x:v>
      </x:c>
      <x:c r="I25" s="143" t="str">
        <x:v>n/a</x:v>
      </x:c>
      <x:c r="J25" s="143" t="str">
        <x:v>not-in-normalized-bank</x:v>
      </x:c>
      <x:c r="K25" s="143" t="str">
        <x:v>triaged</x:v>
      </x:c>
      <x:c r="L25" s="143" t="str">
        <x:v>Open source; verify exact wording, authorship, date and family; never auto-promote.</x:v>
      </x:c>
    </x:row>
    <x:row r="26" ht="46" customHeight="1">
      <x:c r="A26" s="143" t="str">
        <x:v>CAND-022</x:v>
      </x:c>
      <x:c r="B26" s="143" t="str">
        <x:v>Council of Selves is only truly present here as a proto-canon of 12 fragments plus named voices.</x:v>
      </x:c>
      <x:c r="C26" s="143" t="str">
        <x:v>conversation-export</x:v>
      </x:c>
      <x:c r="D26" s="143" t="str">
        <x:v>conversations-001.json / Response Consolidation Strategy</x:v>
      </x:c>
      <x:c r="E26" s="143" t="str">
        <x:v>677192e6-5a70-8006-a15b-85c6786d8712:c0381e31-9330-41a8-863f-1a012a483ab1</x:v>
      </x:c>
      <x:c r="F26" s="179" t="n">
        <x:v>46091.68753898148</x:v>
      </x:c>
      <x:c r="G26" s="143" t="str">
        <x:v>assistant</x:v>
      </x:c>
      <x:c r="H26" s="143" t="str">
        <x:v>exact-line-from-ranked-source</x:v>
      </x:c>
      <x:c r="I26" s="143" t="str">
        <x:v>n/a</x:v>
      </x:c>
      <x:c r="J26" s="143" t="str">
        <x:v>not-in-normalized-bank</x:v>
      </x:c>
      <x:c r="K26" s="143" t="str">
        <x:v>triaged</x:v>
      </x:c>
      <x:c r="L26" s="143" t="str">
        <x:v>Open source; verify exact wording, authorship, date and family; never auto-promote.</x:v>
      </x:c>
    </x:row>
    <x:row r="27" ht="46" customHeight="1">
      <x:c r="A27" s="144" t="str">
        <x:v>CAND-023</x:v>
      </x:c>
      <x:c r="B27" s="144" t="str">
        <x:v>The thread’s highest-value output is not a complete canon, but a reconstruction discipline and a clear statement of what quality means for this project.</x:v>
      </x:c>
      <x:c r="C27" s="144" t="str">
        <x:v>conversation-export</x:v>
      </x:c>
      <x:c r="D27" s="144" t="str">
        <x:v>conversations-001.json / Response Consolidation Strategy</x:v>
      </x:c>
      <x:c r="E27" s="144" t="str">
        <x:v>677192e6-5a70-8006-a15b-85c6786d8712:c0381e31-9330-41a8-863f-1a012a483ab1</x:v>
      </x:c>
      <x:c r="F27" s="180" t="n">
        <x:v>46091.68753898148</x:v>
      </x:c>
      <x:c r="G27" s="144" t="str">
        <x:v>assistant</x:v>
      </x:c>
      <x:c r="H27" s="144" t="str">
        <x:v>exact-line-from-ranked-source</x:v>
      </x:c>
      <x:c r="I27" s="144" t="str">
        <x:v>n/a</x:v>
      </x:c>
      <x:c r="J27" s="144" t="str">
        <x:v>not-in-normalized-bank</x:v>
      </x:c>
      <x:c r="K27" s="144" t="str">
        <x:v>triaged</x:v>
      </x:c>
      <x:c r="L27" s="144" t="str">
        <x:v>Open source; verify exact wording, authorship, date and family; never auto-promote.</x:v>
      </x:c>
    </x:row>
  </x:sheetData>
  <x:mergeCells>
    <x:mergeCell ref="A1:L1"/>
    <x:mergeCell ref="A2:L2"/>
  </x:mergeCells>
  <x:conditionalFormatting sqref="I5:I27">
    <x:cfRule type="containsText" dxfId="10" priority="1" operator="containsText" text="medium"/>
  </x:conditionalFormatting>
  <x:dataValidations count="1">
    <x:dataValidation type="list" sqref="K5:K27">
      <x:formula1>'Lists'!$A$2:$A$10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4" hidden="0" customWidth="1"/>
    <x:col min="3" max="3" width="20" hidden="0" customWidth="1"/>
    <x:col min="4" max="4" width="14" hidden="0" customWidth="1"/>
    <x:col min="5" max="5" width="16" hidden="0" customWidth="1"/>
    <x:col min="6" max="6" width="12" hidden="0" customWidth="1"/>
    <x:col min="7" max="7" width="58" hidden="0" customWidth="1"/>
  </x:cols>
  <x:sheetData>
    <x:row r="1" ht="28" customHeight="1">
      <x:c r="A1" s="124" t="str">
        <x:v>A003 · OCR PILOT</x:v>
      </x:c>
      <x:c r="B1" s="124" t="str">
        <x:v>A003 · OCR PILOT</x:v>
      </x:c>
      <x:c r="C1" s="124" t="str">
        <x:v>A003 · OCR PILOT</x:v>
      </x:c>
      <x:c r="D1" s="124" t="str">
        <x:v>A003 · OCR PILOT</x:v>
      </x:c>
      <x:c r="E1" s="124" t="str">
        <x:v>A003 · OCR PILOT</x:v>
      </x:c>
      <x:c r="F1" s="124" t="str">
        <x:v>A003 · OCR PILOT</x:v>
      </x:c>
      <x:c r="G1" s="124" t="str">
        <x:v>A003 · OCR PILOT</x:v>
      </x:c>
    </x:row>
    <x:row r="2" ht="22" customHeight="1">
      <x:c r="A2" s="127" t="str">
        <x:v>12 files sampled from a 200+ visual census · noisy text remains unverified</x:v>
      </x:c>
      <x:c r="B2" s="127" t="str">
        <x:v>12 files sampled from a 200+ visual census · noisy text remains unverified</x:v>
      </x:c>
      <x:c r="C2" s="127" t="str">
        <x:v>12 files sampled from a 200+ visual census · noisy text remains unverified</x:v>
      </x:c>
      <x:c r="D2" s="127" t="str">
        <x:v>12 files sampled from a 200+ visual census · noisy text remains unverified</x:v>
      </x:c>
      <x:c r="E2" s="127" t="str">
        <x:v>12 files sampled from a 200+ visual census · noisy text remains unverified</x:v>
      </x:c>
      <x:c r="F2" s="127" t="str">
        <x:v>12 files sampled from a 200+ visual census · noisy text remains unverified</x:v>
      </x:c>
      <x:c r="G2" s="127" t="str">
        <x:v>12 files sampled from a 200+ visual census · noisy text remains unverified</x:v>
      </x:c>
    </x:row>
    <x:row r="4" ht="24" customHeight="1">
      <x:c r="A4" s="153" t="str">
        <x:v>File</x:v>
      </x:c>
      <x:c r="B4" s="154" t="str">
        <x:v>Source Ref</x:v>
      </x:c>
      <x:c r="C4" s="154" t="str">
        <x:v>Status</x:v>
      </x:c>
      <x:c r="D4" s="154" t="str">
        <x:v>Confidence</x:v>
      </x:c>
      <x:c r="E4" s="154" t="str">
        <x:v>Candidate Count</x:v>
      </x:c>
      <x:c r="F4" s="154" t="str">
        <x:v>Gap Class</x:v>
      </x:c>
      <x:c r="G4" s="155" t="str">
        <x:v>Note</x:v>
      </x:c>
    </x:row>
    <x:row r="5" ht="44" customHeight="1">
      <x:c r="A5" s="142" t="str">
        <x:v>Provenance Engine: Trace Before Trust.png</x:v>
      </x:c>
      <x:c r="B5" s="142" t="str">
        <x:v>libfile_1aa530610ebc819194a7c63bf2ac9cc9</x:v>
      </x:c>
      <x:c r="C5" s="142" t="str">
        <x:v>readable-noisy</x:v>
      </x:c>
      <x:c r="D5" s="142" t="str">
        <x:v>medium</x:v>
      </x:c>
      <x:c r="E5" s="142" t="n">
        <x:v>1</x:v>
      </x:c>
      <x:c r="F5" s="142" t="str">
        <x:v>GAP-04</x:v>
      </x:c>
      <x:c r="G5" s="142" t="str">
        <x:v>Plate labels and epistemic categories detected; OCR punctuation is noisy.</x:v>
      </x:c>
    </x:row>
    <x:row r="6" ht="44" customHeight="1">
      <x:c r="A6" s="143" t="str">
        <x:v>Cat wall forensic composite.png</x:v>
      </x:c>
      <x:c r="B6" s="143" t="str">
        <x:v>libfile_e89a34cfbf9c8191b2f73e59ebddd80c</x:v>
      </x:c>
      <x:c r="C6" s="143" t="str">
        <x:v>readable-noisy</x:v>
      </x:c>
      <x:c r="D6" s="143" t="str">
        <x:v>medium</x:v>
      </x:c>
      <x:c r="E6" s="143" t="n">
        <x:v>1</x:v>
      </x:c>
      <x:c r="F6" s="143" t="str">
        <x:v>GAP-04</x:v>
      </x:c>
      <x:c r="G6" s="143" t="str">
        <x:v>In-world artifact label detected; verify pixels before exact quotation.</x:v>
      </x:c>
    </x:row>
    <x:row r="7" ht="44" customHeight="1">
      <x:c r="A7" s="143" t="str">
        <x:v>Prison Age: The fandom split.png</x:v>
      </x:c>
      <x:c r="B7" s="143" t="str">
        <x:v>libfile_fe21af9e408481919516266ff6b72a2a</x:v>
      </x:c>
      <x:c r="C7" s="143" t="str">
        <x:v>readable-noisy</x:v>
      </x:c>
      <x:c r="D7" s="143" t="str">
        <x:v>low</x:v>
      </x:c>
      <x:c r="E7" s="143" t="n">
        <x:v>0</x:v>
      </x:c>
      <x:c r="F7" s="143" t="str">
        <x:v>GAP-04</x:v>
      </x:c>
      <x:c r="G7" s="143" t="str">
        <x:v>Mostly diagram labels and timestamps; no exact line proposed.</x:v>
      </x:c>
    </x:row>
    <x:row r="8" ht="44" customHeight="1">
      <x:c r="A8" s="143" t="str">
        <x:v>The load-bearing gap.png</x:v>
      </x:c>
      <x:c r="B8" s="143" t="str">
        <x:v>libfile_a5832028fc4c8191934c272d56c6f549</x:v>
      </x:c>
      <x:c r="C8" s="143" t="str">
        <x:v>zero-result</x:v>
      </x:c>
      <x:c r="D8" s="143" t="str">
        <x:v>unknown</x:v>
      </x:c>
      <x:c r="E8" s="143" t="n">
        <x:v>0</x:v>
      </x:c>
      <x:c r="F8" s="143" t="str">
        <x:v>GAP-04</x:v>
      </x:c>
      <x:c r="G8" s="143" t="str">
        <x:v>No readable text returned.</x:v>
      </x:c>
    </x:row>
    <x:row r="9" ht="44" customHeight="1">
      <x:c r="A9" s="143" t="str">
        <x:v>Memory in the fold.png</x:v>
      </x:c>
      <x:c r="B9" s="143" t="str">
        <x:v>libfile_8065463484448191a5c15d9625df7766</x:v>
      </x:c>
      <x:c r="C9" s="143" t="str">
        <x:v>zero-result</x:v>
      </x:c>
      <x:c r="D9" s="143" t="str">
        <x:v>unknown</x:v>
      </x:c>
      <x:c r="E9" s="143" t="n">
        <x:v>0</x:v>
      </x:c>
      <x:c r="F9" s="143" t="str">
        <x:v>GAP-04</x:v>
      </x:c>
      <x:c r="G9" s="143" t="str">
        <x:v>No readable text returned.</x:v>
      </x:c>
    </x:row>
    <x:row r="10" ht="44" customHeight="1">
      <x:c r="A10" s="143" t="str">
        <x:v>The Floor Becomes a Map.png</x:v>
      </x:c>
      <x:c r="B10" s="143" t="str">
        <x:v>libfile_9ade098bce808191a8bb2abc55f32315</x:v>
      </x:c>
      <x:c r="C10" s="143" t="str">
        <x:v>zero-result</x:v>
      </x:c>
      <x:c r="D10" s="143" t="str">
        <x:v>unknown</x:v>
      </x:c>
      <x:c r="E10" s="143" t="n">
        <x:v>0</x:v>
      </x:c>
      <x:c r="F10" s="143" t="str">
        <x:v>GAP-04</x:v>
      </x:c>
      <x:c r="G10" s="143" t="str">
        <x:v>No readable text returned.</x:v>
      </x:c>
    </x:row>
    <x:row r="11" ht="44" customHeight="1">
      <x:c r="A11" s="143" t="str">
        <x:v>Two Traces, One Fixed Point.png</x:v>
      </x:c>
      <x:c r="B11" s="143" t="str">
        <x:v>libfile_0b0fa56609788191bef8ac4504f5c691</x:v>
      </x:c>
      <x:c r="C11" s="143" t="str">
        <x:v>zero-result</x:v>
      </x:c>
      <x:c r="D11" s="143" t="str">
        <x:v>unknown</x:v>
      </x:c>
      <x:c r="E11" s="143" t="n">
        <x:v>0</x:v>
      </x:c>
      <x:c r="F11" s="143" t="str">
        <x:v>GAP-04</x:v>
      </x:c>
      <x:c r="G11" s="143" t="str">
        <x:v>No readable text returned.</x:v>
      </x:c>
    </x:row>
    <x:row r="12" ht="44" customHeight="1">
      <x:c r="A12" s="143" t="str">
        <x:v>The chair that wasn’t there.png</x:v>
      </x:c>
      <x:c r="B12" s="143" t="str">
        <x:v>libfile_8fa5e6a9467081919e42e71a189e40d6</x:v>
      </x:c>
      <x:c r="C12" s="143" t="str">
        <x:v>readable-noisy</x:v>
      </x:c>
      <x:c r="D12" s="143" t="str">
        <x:v>low</x:v>
      </x:c>
      <x:c r="E12" s="143" t="n">
        <x:v>0</x:v>
      </x:c>
      <x:c r="F12" s="143" t="str">
        <x:v>GAP-04</x:v>
      </x:c>
      <x:c r="G12" s="143" t="str">
        <x:v>Diagram title and location labels detected; no exact line proposed.</x:v>
      </x:c>
    </x:row>
    <x:row r="13" ht="44" customHeight="1">
      <x:c r="A13" s="143" t="str">
        <x:v>The Atlas of Return and Becoming.png</x:v>
      </x:c>
      <x:c r="B13" s="143" t="str">
        <x:v>libfile_ae423884d22881918b3582fb60d4779f</x:v>
      </x:c>
      <x:c r="C13" s="143" t="str">
        <x:v>readable-noisy</x:v>
      </x:c>
      <x:c r="D13" s="143" t="str">
        <x:v>low</x:v>
      </x:c>
      <x:c r="E13" s="143" t="n">
        <x:v>0</x:v>
      </x:c>
      <x:c r="F13" s="143" t="str">
        <x:v>GAP-04</x:v>
      </x:c>
      <x:c r="G13" s="143" t="str">
        <x:v>Module labels detected; OCR too noisy for exact quotation.</x:v>
      </x:c>
    </x:row>
    <x:row r="14" ht="44" customHeight="1">
      <x:c r="A14" s="143" t="str">
        <x:v>Eight Plates: A Mnemonic Journey.png</x:v>
      </x:c>
      <x:c r="B14" s="143" t="str">
        <x:v>libfile_abe0f8058bec8191b6bd223407f52ad8</x:v>
      </x:c>
      <x:c r="C14" s="143" t="str">
        <x:v>readable</x:v>
      </x:c>
      <x:c r="D14" s="143" t="str">
        <x:v>medium</x:v>
      </x:c>
      <x:c r="E14" s="143" t="n">
        <x:v>3</x:v>
      </x:c>
      <x:c r="F14" s="143" t="str">
        <x:v>GAP-04</x:v>
      </x:c>
      <x:c r="G14" s="143" t="str">
        <x:v>Several short plate lines are legible; verify pixels and source prompt before attribution.</x:v>
      </x:c>
    </x:row>
    <x:row r="15" ht="44" customHeight="1">
      <x:c r="A15" s="143" t="str">
        <x:v>image-gen-1(20).png</x:v>
      </x:c>
      <x:c r="B15" s="143" t="str">
        <x:v>libfile_cfa29e4747808191a6344a363a7531a4</x:v>
      </x:c>
      <x:c r="C15" s="143" t="str">
        <x:v>zero-result</x:v>
      </x:c>
      <x:c r="D15" s="143" t="str">
        <x:v>unknown</x:v>
      </x:c>
      <x:c r="E15" s="143" t="n">
        <x:v>0</x:v>
      </x:c>
      <x:c r="F15" s="143" t="str">
        <x:v>GAP-04</x:v>
      </x:c>
      <x:c r="G15" s="143" t="str">
        <x:v>No readable text returned.</x:v>
      </x:c>
    </x:row>
    <x:row r="16" ht="44" customHeight="1">
      <x:c r="A16" s="144" t="str">
        <x:v>Systematic design of labyrinthine thought.png</x:v>
      </x:c>
      <x:c r="B16" s="144" t="str">
        <x:v>libfile_b9ce1d2c874481919b4bdb5dffe0f719</x:v>
      </x:c>
      <x:c r="C16" s="144" t="str">
        <x:v>readable-noisy</x:v>
      </x:c>
      <x:c r="D16" s="144" t="str">
        <x:v>medium</x:v>
      </x:c>
      <x:c r="E16" s="144" t="n">
        <x:v>1</x:v>
      </x:c>
      <x:c r="F16" s="144" t="str">
        <x:v>GAP-04</x:v>
      </x:c>
      <x:c r="G16" s="144" t="str">
        <x:v>Mixed plate text detected; only a clearly segmented, non-sensitive line is proposed.</x:v>
      </x:c>
    </x:row>
  </x:sheetData>
  <x:mergeCells>
    <x:mergeCell ref="A1:G1"/>
    <x:mergeCell ref="A2:G2"/>
  </x:mergeCells>
  <x:conditionalFormatting sqref="C5:C16">
    <x:cfRule type="containsText" dxfId="11" priority="1" operator="containsText" text="zero-result"/>
    <x:cfRule type="containsText" dxfId="12" priority="2" operator="containsText" text="readable"/>
  </x:conditionalFormatting>
  <x:pageMargins left="0.7" right="0.7" top="0.75" bottom="0.75" header="0.3" footer="0.3"/>
</x:worksheet>
</file>